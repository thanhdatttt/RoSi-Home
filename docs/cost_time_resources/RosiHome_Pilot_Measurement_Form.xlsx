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24343180d743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 dan" sheetId="1" r:id="R668121bba7c240ca"/>
    <x:sheet xmlns:r="http://schemas.openxmlformats.org/officeDocument/2006/relationships" name="Setup &amp; Lists" sheetId="2" r:id="R17898ab2fb474560"/>
    <x:sheet xmlns:r="http://schemas.openxmlformats.org/officeDocument/2006/relationships" name="Stories" sheetId="3" r:id="Rbd2606ad096249eb"/>
    <x:sheet xmlns:r="http://schemas.openxmlformats.org/officeDocument/2006/relationships" name="Human Time Log" sheetId="4" r:id="Rf87527fe6e314af9"/>
    <x:sheet xmlns:r="http://schemas.openxmlformats.org/officeDocument/2006/relationships" name="AI Usage Log" sheetId="5" r:id="R86258cb0c6ed403c"/>
    <x:sheet xmlns:r="http://schemas.openxmlformats.org/officeDocument/2006/relationships" name="Cost Log" sheetId="6" r:id="R4d0db44e2325409c"/>
    <x:sheet xmlns:r="http://schemas.openxmlformats.org/officeDocument/2006/relationships" name="Daily Team Log" sheetId="7" r:id="R800f682a2e9f46e9"/>
    <x:sheet xmlns:r="http://schemas.openxmlformats.org/officeDocument/2006/relationships" name="Dashboard" sheetId="8" r:id="R1a15729a5ab947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yyyy-mm-dd"/>
    <x:numFmt numFmtId="201" formatCode="#,##0"/>
    <x:numFmt numFmtId="202" formatCode="0.0"/>
    <x:numFmt numFmtId="203" formatCode="yyyy-mm-dd hh:mm"/>
    <x:numFmt numFmtId="204" formatCode="0.0%"/>
    <x:numFmt numFmtId="205" formatCode="0"/>
    <x:numFmt numFmtId="206" formatCode="0.00"/>
    <x:numFmt numFmtId="207" formatCode="$#,##0.00"/>
    <x:numFmt numFmtId="208" formatCode="#,##0.0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17365D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0F6B78"/>
      </x:patternFill>
    </x:fill>
    <x:fill>
      <x:patternFill patternType="solid">
        <x:fgColor rgb="FFF3F5F7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4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7" borderId="2" xfId="0" applyNumberFormat="1" applyFont="1" applyFill="1" applyBorder="1"/>
    <x:xf numFmtId="0" fontId="0" fillId="7" borderId="3" xfId="0" applyNumberFormat="1" applyFont="1" applyFill="1" applyBorder="1"/>
    <x:xf numFmtId="0" fontId="0" fillId="7" borderId="4" xfId="0" applyNumberFormat="1" applyFont="1" applyFill="1" applyBorder="1"/>
    <x:xf numFmtId="200" fontId="0" fillId="7" borderId="3" xfId="0" applyNumberFormat="1" applyFont="1" applyFill="1" applyBorder="1"/>
    <x:xf numFmtId="201" fontId="0" fillId="7" borderId="3" xfId="0" applyNumberFormat="1" applyFont="1" applyFill="1" applyBorder="1"/>
    <x:xf numFmtId="202" fontId="0" fillId="7" borderId="3" xfId="0" applyNumberFormat="1" applyFont="1" applyFill="1" applyBorder="1"/>
    <x:xf numFmtId="202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0" fillId="7" borderId="6" xfId="0" applyNumberFormat="1" applyFont="1" applyFill="1" applyBorder="1"/>
    <x:xf numFmtId="0" fontId="0" fillId="7" borderId="7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8" borderId="6" xfId="0" applyNumberFormat="1" applyFont="1" applyFill="1" applyBorder="1"/>
    <x:xf numFmtId="0" fontId="0" fillId="8" borderId="9" xfId="0" applyNumberFormat="1" applyFont="1" applyFill="1" applyBorder="1"/>
    <x:xf numFmtId="0" fontId="0" fillId="8" borderId="12" xfId="0" applyNumberFormat="1" applyFont="1" applyFill="1" applyBorder="1"/>
    <x:xf numFmtId="203" fontId="0" fillId="7" borderId="6" xfId="0" applyNumberFormat="1" applyFont="1" applyFill="1" applyBorder="1"/>
    <x:xf numFmtId="203" fontId="0" fillId="7" borderId="9" xfId="0" applyNumberFormat="1" applyFont="1" applyFill="1" applyBorder="1"/>
    <x:xf numFmtId="203" fontId="0" fillId="7" borderId="12" xfId="0" applyNumberFormat="1" applyFont="1" applyFill="1" applyBorder="1"/>
    <x:xf numFmtId="202" fontId="0" fillId="8" borderId="0" xfId="0" applyNumberFormat="1" applyFont="1" applyFill="1" applyBorder="1"/>
    <x:xf numFmtId="204" fontId="0" fillId="8" borderId="6" xfId="0" applyNumberFormat="1" applyFont="1" applyFill="1" applyBorder="1"/>
    <x:xf numFmtId="204" fontId="0" fillId="8" borderId="9" xfId="0" applyNumberFormat="1" applyFont="1" applyFill="1" applyBorder="1"/>
    <x:xf numFmtId="204" fontId="0" fillId="8" borderId="12" xfId="0" applyNumberFormat="1" applyFont="1" applyFill="1" applyBorder="1"/>
    <x:xf numFmtId="205" fontId="0" fillId="7" borderId="5" xfId="0" applyNumberFormat="1" applyFont="1" applyFill="1" applyBorder="1"/>
    <x:xf numFmtId="205" fontId="0" fillId="7" borderId="6" xfId="0" applyNumberFormat="1" applyFont="1" applyFill="1" applyBorder="1"/>
    <x:xf numFmtId="205" fontId="0" fillId="7" borderId="8" xfId="0" applyNumberFormat="1" applyFont="1" applyFill="1" applyBorder="1"/>
    <x:xf numFmtId="205" fontId="0" fillId="7" borderId="9" xfId="0" applyNumberFormat="1" applyFont="1" applyFill="1" applyBorder="1"/>
    <x:xf numFmtId="205" fontId="0" fillId="7" borderId="11" xfId="0" applyNumberFormat="1" applyFont="1" applyFill="1" applyBorder="1"/>
    <x:xf numFmtId="205" fontId="0" fillId="7" borderId="12" xfId="0" applyNumberFormat="1" applyFont="1" applyFill="1" applyBorder="1"/>
    <x:xf numFmtId="202" fontId="0" fillId="7" borderId="6" xfId="0" applyNumberFormat="1" applyFont="1" applyFill="1" applyBorder="1"/>
    <x:xf numFmtId="202" fontId="0" fillId="7" borderId="9" xfId="0" applyNumberFormat="1" applyFont="1" applyFill="1" applyBorder="1"/>
    <x:xf numFmtId="202" fontId="0" fillId="7" borderId="12" xfId="0" applyNumberFormat="1" applyFont="1" applyFill="1" applyBorder="1"/>
    <x:xf numFmtId="0" fontId="0" fillId="7" borderId="6" xfId="0" applyNumberFormat="1" applyFont="1" applyFill="1" applyBorder="1" applyAlignment="1">
      <x:alignment wrapText="1"/>
    </x:xf>
    <x:xf numFmtId="0" fontId="0" fillId="7" borderId="9" xfId="0" applyNumberFormat="1" applyFont="1" applyFill="1" applyBorder="1" applyAlignment="1">
      <x:alignment wrapText="1"/>
    </x:xf>
    <x:xf numFmtId="0" fontId="0" fillId="7" borderId="12" xfId="0" applyNumberFormat="1" applyFont="1" applyFill="1" applyBorder="1" applyAlignment="1">
      <x:alignment wrapText="1"/>
    </x:xf>
    <x:xf numFmtId="0" fontId="0" fillId="7" borderId="7" xfId="0" applyNumberFormat="1" applyFont="1" applyFill="1" applyBorder="1" applyAlignment="1">
      <x:alignment wrapText="1"/>
    </x:xf>
    <x:xf numFmtId="0" fontId="0" fillId="7" borderId="10" xfId="0" applyNumberFormat="1" applyFont="1" applyFill="1" applyBorder="1" applyAlignment="1">
      <x:alignment wrapText="1"/>
    </x:xf>
    <x:xf numFmtId="0" fontId="0" fillId="7" borderId="13" xfId="0" applyNumberFormat="1" applyFont="1" applyFill="1" applyBorder="1" applyAlignment="1">
      <x:alignment wrapText="1"/>
    </x:xf>
    <x:xf numFmtId="200" fontId="0" fillId="7" borderId="5" xfId="0" applyNumberFormat="1" applyFont="1" applyFill="1" applyBorder="1"/>
    <x:xf numFmtId="200" fontId="0" fillId="7" borderId="8" xfId="0" applyNumberFormat="1" applyFont="1" applyFill="1" applyBorder="1"/>
    <x:xf numFmtId="200" fontId="0" fillId="7" borderId="11" xfId="0" applyNumberFormat="1" applyFont="1" applyFill="1" applyBorder="1"/>
    <x:xf numFmtId="203" fontId="0" fillId="7" borderId="7" xfId="0" applyNumberFormat="1" applyFont="1" applyFill="1" applyBorder="1"/>
    <x:xf numFmtId="203" fontId="0" fillId="7" borderId="10" xfId="0" applyNumberFormat="1" applyFont="1" applyFill="1" applyBorder="1"/>
    <x:xf numFmtId="203" fontId="0" fillId="7" borderId="13" xfId="0" applyNumberFormat="1" applyFont="1" applyFill="1" applyBorder="1"/>
    <x:xf numFmtId="205" fontId="0" fillId="8" borderId="0" xfId="0" applyNumberFormat="1" applyFont="1" applyFill="1" applyBorder="1"/>
    <x:xf numFmtId="206" fontId="0" fillId="8" borderId="0" xfId="0" applyNumberFormat="1" applyFont="1" applyFill="1" applyBorder="1"/>
    <x:xf numFmtId="201" fontId="0" fillId="7" borderId="5" xfId="0" applyNumberFormat="1" applyFont="1" applyFill="1" applyBorder="1"/>
    <x:xf numFmtId="201" fontId="0" fillId="7" borderId="6" xfId="0" applyNumberFormat="1" applyFont="1" applyFill="1" applyBorder="1"/>
    <x:xf numFmtId="201" fontId="0" fillId="7" borderId="8" xfId="0" applyNumberFormat="1" applyFont="1" applyFill="1" applyBorder="1"/>
    <x:xf numFmtId="201" fontId="0" fillId="7" borderId="9" xfId="0" applyNumberFormat="1" applyFont="1" applyFill="1" applyBorder="1"/>
    <x:xf numFmtId="201" fontId="0" fillId="7" borderId="11" xfId="0" applyNumberFormat="1" applyFont="1" applyFill="1" applyBorder="1"/>
    <x:xf numFmtId="201" fontId="0" fillId="7" borderId="12" xfId="0" applyNumberFormat="1" applyFont="1" applyFill="1" applyBorder="1"/>
    <x:xf numFmtId="207" fontId="0" fillId="7" borderId="7" xfId="0" applyNumberFormat="1" applyFont="1" applyFill="1" applyBorder="1"/>
    <x:xf numFmtId="207" fontId="0" fillId="7" borderId="10" xfId="0" applyNumberFormat="1" applyFont="1" applyFill="1" applyBorder="1"/>
    <x:xf numFmtId="207" fontId="0" fillId="7" borderId="13" xfId="0" applyNumberFormat="1" applyFont="1" applyFill="1" applyBorder="1"/>
    <x:xf numFmtId="201" fontId="0" fillId="8" borderId="0" xfId="0" applyNumberFormat="1" applyFont="1" applyFill="1" applyBorder="1"/>
    <x:xf numFmtId="208" fontId="0" fillId="7" borderId="7" xfId="0" applyNumberFormat="1" applyFont="1" applyFill="1" applyBorder="1"/>
    <x:xf numFmtId="208" fontId="0" fillId="8" borderId="0" xfId="0" applyNumberFormat="1" applyFont="1" applyFill="1" applyBorder="1"/>
    <x:xf numFmtId="208" fontId="0" fillId="7" borderId="10" xfId="0" applyNumberFormat="1" applyFont="1" applyFill="1" applyBorder="1"/>
    <x:xf numFmtId="208" fontId="0" fillId="7" borderId="13" xfId="0" applyNumberFormat="1" applyFont="1" applyFill="1" applyBorder="1"/>
    <x:xf numFmtId="206" fontId="0" fillId="7" borderId="7" xfId="0" applyNumberFormat="1" applyFont="1" applyFill="1" applyBorder="1"/>
    <x:xf numFmtId="206" fontId="0" fillId="7" borderId="10" xfId="0" applyNumberFormat="1" applyFont="1" applyFill="1" applyBorder="1"/>
    <x:xf numFmtId="206" fontId="0" fillId="7" borderId="13" xfId="0" applyNumberFormat="1" applyFont="1" applyFill="1" applyBorder="1"/>
    <x:xf numFmtId="204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7" borderId="2" xfId="0" applyNumberFormat="1" applyFont="1" applyFill="1" applyBorder="1"/>
    <x:xf numFmtId="200" fontId="6" fillId="7" borderId="3" xfId="0" applyNumberFormat="1" applyFont="1" applyFill="1" applyBorder="1"/>
    <x:xf numFmtId="201" fontId="6" fillId="7" borderId="3" xfId="0" applyNumberFormat="1" applyFont="1" applyFill="1" applyBorder="1"/>
    <x:xf numFmtId="202" fontId="6" fillId="7" borderId="3" xfId="0" applyNumberFormat="1" applyFont="1" applyFill="1" applyBorder="1"/>
    <x:xf numFmtId="202" fontId="6" fillId="7" borderId="4" xfId="0" applyNumberFormat="1" applyFont="1" applyFill="1" applyBorder="1"/>
    <x:xf numFmtId="0" fontId="5" fillId="4" borderId="0" xfId="0" applyNumberFormat="1" applyFont="1" applyFill="1" applyBorder="1"/>
    <x:xf numFmtId="0" fontId="6" fillId="6" borderId="0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 applyAlignment="1">
      <x:alignment wrapText="1"/>
    </x:xf>
    <x:xf numFmtId="0" fontId="6" fillId="7" borderId="6" xfId="0" applyNumberFormat="1" applyFont="1" applyFill="1" applyBorder="1"/>
    <x:xf numFmtId="203" fontId="6" fillId="7" borderId="6" xfId="0" applyNumberFormat="1" applyFont="1" applyFill="1" applyBorder="1"/>
    <x:xf numFmtId="0" fontId="6" fillId="7" borderId="7" xfId="0" applyNumberFormat="1" applyFont="1" applyFill="1" applyBorder="1"/>
    <x:xf numFmtId="202" fontId="6" fillId="8" borderId="0" xfId="0" applyNumberFormat="1" applyFont="1" applyFill="1" applyBorder="1"/>
    <x:xf numFmtId="205" fontId="6" fillId="7" borderId="5" xfId="0" applyNumberFormat="1" applyFont="1" applyFill="1" applyBorder="1"/>
    <x:xf numFmtId="205" fontId="6" fillId="7" borderId="6" xfId="0" applyNumberFormat="1" applyFont="1" applyFill="1" applyBorder="1"/>
    <x:xf numFmtId="204" fontId="6" fillId="8" borderId="6" xfId="0" applyNumberFormat="1" applyFont="1" applyFill="1" applyBorder="1"/>
    <x:xf numFmtId="202" fontId="6" fillId="7" borderId="6" xfId="0" applyNumberFormat="1" applyFont="1" applyFill="1" applyBorder="1"/>
    <x:xf numFmtId="0" fontId="6" fillId="7" borderId="7" xfId="0" applyNumberFormat="1" applyFont="1" applyFill="1" applyBorder="1" applyAlignment="1">
      <x:alignment wrapText="1"/>
    </x:xf>
    <x:xf numFmtId="0" fontId="6" fillId="7" borderId="8" xfId="0" applyNumberFormat="1" applyFont="1" applyFill="1" applyBorder="1"/>
    <x:xf numFmtId="0" fontId="6" fillId="7" borderId="9" xfId="0" applyNumberFormat="1" applyFont="1" applyFill="1" applyBorder="1" applyAlignment="1">
      <x:alignment wrapText="1"/>
    </x:xf>
    <x:xf numFmtId="0" fontId="6" fillId="7" borderId="9" xfId="0" applyNumberFormat="1" applyFont="1" applyFill="1" applyBorder="1"/>
    <x:xf numFmtId="203" fontId="6" fillId="7" borderId="9" xfId="0" applyNumberFormat="1" applyFont="1" applyFill="1" applyBorder="1"/>
    <x:xf numFmtId="0" fontId="6" fillId="7" borderId="10" xfId="0" applyNumberFormat="1" applyFont="1" applyFill="1" applyBorder="1"/>
    <x:xf numFmtId="205" fontId="6" fillId="7" borderId="8" xfId="0" applyNumberFormat="1" applyFont="1" applyFill="1" applyBorder="1"/>
    <x:xf numFmtId="205" fontId="6" fillId="7" borderId="9" xfId="0" applyNumberFormat="1" applyFont="1" applyFill="1" applyBorder="1"/>
    <x:xf numFmtId="204" fontId="6" fillId="8" borderId="9" xfId="0" applyNumberFormat="1" applyFont="1" applyFill="1" applyBorder="1"/>
    <x:xf numFmtId="202" fontId="6" fillId="7" borderId="9" xfId="0" applyNumberFormat="1" applyFont="1" applyFill="1" applyBorder="1"/>
    <x:xf numFmtId="0" fontId="6" fillId="7" borderId="10" xfId="0" applyNumberFormat="1" applyFont="1" applyFill="1" applyBorder="1" applyAlignment="1">
      <x:alignment wrapText="1"/>
    </x:xf>
    <x:xf numFmtId="0" fontId="6" fillId="7" borderId="11" xfId="0" applyNumberFormat="1" applyFont="1" applyFill="1" applyBorder="1"/>
    <x:xf numFmtId="0" fontId="6" fillId="7" borderId="12" xfId="0" applyNumberFormat="1" applyFont="1" applyFill="1" applyBorder="1" applyAlignment="1">
      <x:alignment wrapText="1"/>
    </x:xf>
    <x:xf numFmtId="0" fontId="6" fillId="7" borderId="12" xfId="0" applyNumberFormat="1" applyFont="1" applyFill="1" applyBorder="1"/>
    <x:xf numFmtId="203" fontId="6" fillId="7" borderId="12" xfId="0" applyNumberFormat="1" applyFont="1" applyFill="1" applyBorder="1"/>
    <x:xf numFmtId="0" fontId="6" fillId="7" borderId="13" xfId="0" applyNumberFormat="1" applyFont="1" applyFill="1" applyBorder="1"/>
    <x:xf numFmtId="205" fontId="6" fillId="7" borderId="11" xfId="0" applyNumberFormat="1" applyFont="1" applyFill="1" applyBorder="1"/>
    <x:xf numFmtId="205" fontId="6" fillId="7" borderId="12" xfId="0" applyNumberFormat="1" applyFont="1" applyFill="1" applyBorder="1"/>
    <x:xf numFmtId="204" fontId="6" fillId="8" borderId="12" xfId="0" applyNumberFormat="1" applyFont="1" applyFill="1" applyBorder="1"/>
    <x:xf numFmtId="202" fontId="6" fillId="7" borderId="12" xfId="0" applyNumberFormat="1" applyFont="1" applyFill="1" applyBorder="1"/>
    <x:xf numFmtId="0" fontId="6" fillId="7" borderId="13" xfId="0" applyNumberFormat="1" applyFont="1" applyFill="1" applyBorder="1" applyAlignment="1">
      <x:alignment wrapText="1"/>
    </x:xf>
    <x:xf numFmtId="200" fontId="6" fillId="7" borderId="5" xfId="0" applyNumberFormat="1" applyFont="1" applyFill="1" applyBorder="1"/>
    <x:xf numFmtId="203" fontId="6" fillId="7" borderId="7" xfId="0" applyNumberFormat="1" applyFont="1" applyFill="1" applyBorder="1"/>
    <x:xf numFmtId="205" fontId="6" fillId="8" borderId="0" xfId="0" applyNumberFormat="1" applyFont="1" applyFill="1" applyBorder="1"/>
    <x:xf numFmtId="206" fontId="6" fillId="8" borderId="0" xfId="0" applyNumberFormat="1" applyFont="1" applyFill="1" applyBorder="1"/>
    <x:xf numFmtId="200" fontId="6" fillId="7" borderId="8" xfId="0" applyNumberFormat="1" applyFont="1" applyFill="1" applyBorder="1"/>
    <x:xf numFmtId="203" fontId="6" fillId="7" borderId="10" xfId="0" applyNumberFormat="1" applyFont="1" applyFill="1" applyBorder="1"/>
    <x:xf numFmtId="0" fontId="6" fillId="7" borderId="3" xfId="0" applyNumberFormat="1" applyFont="1" applyFill="1" applyBorder="1"/>
    <x:xf numFmtId="200" fontId="6" fillId="7" borderId="11" xfId="0" applyNumberFormat="1" applyFont="1" applyFill="1" applyBorder="1"/>
    <x:xf numFmtId="203" fontId="6" fillId="7" borderId="13" xfId="0" applyNumberFormat="1" applyFont="1" applyFill="1" applyBorder="1"/>
    <x:xf numFmtId="0" fontId="6" fillId="7" borderId="4" xfId="0" applyNumberFormat="1" applyFont="1" applyFill="1" applyBorder="1"/>
    <x:xf numFmtId="201" fontId="6" fillId="7" borderId="5" xfId="0" applyNumberFormat="1" applyFont="1" applyFill="1" applyBorder="1"/>
    <x:xf numFmtId="201" fontId="6" fillId="7" borderId="6" xfId="0" applyNumberFormat="1" applyFont="1" applyFill="1" applyBorder="1"/>
    <x:xf numFmtId="207" fontId="6" fillId="7" borderId="7" xfId="0" applyNumberFormat="1" applyFont="1" applyFill="1" applyBorder="1"/>
    <x:xf numFmtId="201" fontId="6" fillId="8" borderId="0" xfId="0" applyNumberFormat="1" applyFont="1" applyFill="1" applyBorder="1"/>
    <x:xf numFmtId="201" fontId="6" fillId="7" borderId="8" xfId="0" applyNumberFormat="1" applyFont="1" applyFill="1" applyBorder="1"/>
    <x:xf numFmtId="201" fontId="6" fillId="7" borderId="9" xfId="0" applyNumberFormat="1" applyFont="1" applyFill="1" applyBorder="1"/>
    <x:xf numFmtId="207" fontId="6" fillId="7" borderId="10" xfId="0" applyNumberFormat="1" applyFont="1" applyFill="1" applyBorder="1"/>
    <x:xf numFmtId="201" fontId="6" fillId="7" borderId="11" xfId="0" applyNumberFormat="1" applyFont="1" applyFill="1" applyBorder="1"/>
    <x:xf numFmtId="201" fontId="6" fillId="7" borderId="12" xfId="0" applyNumberFormat="1" applyFont="1" applyFill="1" applyBorder="1"/>
    <x:xf numFmtId="207" fontId="6" fillId="7" borderId="13" xfId="0" applyNumberFormat="1" applyFont="1" applyFill="1" applyBorder="1"/>
    <x:xf numFmtId="208" fontId="6" fillId="7" borderId="7" xfId="0" applyNumberFormat="1" applyFont="1" applyFill="1" applyBorder="1"/>
    <x:xf numFmtId="208" fontId="6" fillId="8" borderId="0" xfId="0" applyNumberFormat="1" applyFont="1" applyFill="1" applyBorder="1"/>
    <x:xf numFmtId="208" fontId="6" fillId="7" borderId="10" xfId="0" applyNumberFormat="1" applyFont="1" applyFill="1" applyBorder="1"/>
    <x:xf numFmtId="208" fontId="6" fillId="7" borderId="13" xfId="0" applyNumberFormat="1" applyFont="1" applyFill="1" applyBorder="1"/>
    <x:xf numFmtId="206" fontId="6" fillId="7" borderId="7" xfId="0" applyNumberFormat="1" applyFont="1" applyFill="1" applyBorder="1"/>
    <x:xf numFmtId="206" fontId="6" fillId="7" borderId="10" xfId="0" applyNumberFormat="1" applyFont="1" applyFill="1" applyBorder="1"/>
    <x:xf numFmtId="206" fontId="6" fillId="7" borderId="13" xfId="0" applyNumberFormat="1" applyFont="1" applyFill="1" applyBorder="1"/>
    <x:xf numFmtId="0" fontId="6" fillId="8" borderId="0" xfId="0" applyNumberFormat="1" applyFont="1" applyFill="1" applyBorder="1"/>
    <x:xf numFmtId="204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a7f02de1ce4dfd" /><Relationship Type="http://schemas.openxmlformats.org/officeDocument/2006/relationships/theme" Target="/xl/theme/theme1.xml" Id="R20822e77129e4ac2" /><Relationship Type="http://schemas.openxmlformats.org/officeDocument/2006/relationships/sharedStrings" Target="/xl/sharedStrings.xml" Id="R43b6d4ea11e845cd" /><Relationship Type="http://schemas.openxmlformats.org/officeDocument/2006/relationships/worksheet" Target="/xl/worksheets/sheet1.xml" Id="R668121bba7c240ca" /><Relationship Type="http://schemas.openxmlformats.org/officeDocument/2006/relationships/worksheet" Target="/xl/worksheets/sheet2.xml" Id="R17898ab2fb474560" /><Relationship Type="http://schemas.openxmlformats.org/officeDocument/2006/relationships/worksheet" Target="/xl/worksheets/sheet3.xml" Id="Rbd2606ad096249eb" /><Relationship Type="http://schemas.openxmlformats.org/officeDocument/2006/relationships/worksheet" Target="/xl/worksheets/sheet4.xml" Id="Rf87527fe6e314af9" /><Relationship Type="http://schemas.openxmlformats.org/officeDocument/2006/relationships/worksheet" Target="/xl/worksheets/sheet5.xml" Id="R86258cb0c6ed403c" /><Relationship Type="http://schemas.openxmlformats.org/officeDocument/2006/relationships/worksheet" Target="/xl/worksheets/sheet6.xml" Id="R4d0db44e2325409c" /><Relationship Type="http://schemas.openxmlformats.org/officeDocument/2006/relationships/worksheet" Target="/xl/worksheets/sheet7.xml" Id="R800f682a2e9f46e9" /><Relationship Type="http://schemas.openxmlformats.org/officeDocument/2006/relationships/worksheet" Target="/xl/worksheets/sheet8.xml" Id="R1a15729a5ab9476d" /></Relationships>
</file>

<file path=xl/tables/table1.xml><?xml version="1.0" encoding="utf-8"?>
<x:table xmlns:x="http://schemas.openxmlformats.org/spreadsheetml/2006/main" id="1" name="StoriesTable" displayName="StoriesTable" ref="A3:AE103" headerRowCount="1" totalsRowCount="0" totalsRowShown="0">
  <x:tableColumns count="31">
    <x:tableColumn id="1" name="Story ID"/>
    <x:tableColumn id="2" name="Title"/>
    <x:tableColumn id="3" name="Class"/>
    <x:tableColumn id="4" name="Priority"/>
    <x:tableColumn id="5" name="Workstream"/>
    <x:tableColumn id="6" name="Cohort"/>
    <x:tableColumn id="7" name="Provider"/>
    <x:tableColumn id="8" name="Surface"/>
    <x:tableColumn id="9" name="Model"/>
    <x:tableColumn id="10" name="Assignee"/>
    <x:tableColumn id="11" name="Reviewer"/>
    <x:tableColumn id="12" name="Status"/>
    <x:tableColumn id="13" name="Ready Time"/>
    <x:tableColumn id="14" name="Start Time"/>
    <x:tableColumn id="15" name="Code Complete"/>
    <x:tableColumn id="16" name="Review Complete"/>
    <x:tableColumn id="17" name="Test Complete"/>
    <x:tableColumn id="18" name="Deploy Time"/>
    <x:tableColumn id="19" name="Accepted Time"/>
    <x:tableColumn id="20" name="Outcome"/>
    <x:tableColumn id="21" name="Cycle Hours"/>
    <x:tableColumn id="22" name="AC Total"/>
    <x:tableColumn id="23" name="AC Passed"/>
    <x:tableColumn id="24" name="Acceptance Rate"/>
    <x:tableColumn id="25" name="CI Attempts"/>
    <x:tableColumn id="26" name="Deploy Attempts"/>
    <x:tableColumn id="27" name="Deployment Success"/>
    <x:tableColumn id="28" name="Rework Hours"/>
    <x:tableColumn id="29" name="Blocked Hours"/>
    <x:tableColumn id="30" name="PR URL"/>
    <x:tableColumn id="3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umanTimeTable" displayName="HumanTimeTable" ref="A3:I503" headerRowCount="1" totalsRowCount="0" totalsRowShown="0">
  <x:tableColumns count="9">
    <x:tableColumn id="1" name="Work Date"/>
    <x:tableColumn id="2" name="Member"/>
    <x:tableColumn id="3" name="Story ID"/>
    <x:tableColumn id="4" name="Activity"/>
    <x:tableColumn id="5" name="Start Time"/>
    <x:tableColumn id="6" name="End Time"/>
    <x:tableColumn id="7" name="Minutes"/>
    <x:tableColumn id="8" name="Hours"/>
    <x:tableColumn id="9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IUsageTable" displayName="AIUsageTable" ref="A3:U503" headerRowCount="1" totalsRowCount="0" totalsRowShown="0">
  <x:tableColumns count="21">
    <x:tableColumn id="1" name="Date"/>
    <x:tableColumn id="2" name="Story ID"/>
    <x:tableColumn id="3" name="Member"/>
    <x:tableColumn id="4" name="Cohort"/>
    <x:tableColumn id="5" name="Provider"/>
    <x:tableColumn id="6" name="Surface"/>
    <x:tableColumn id="7" name="Model"/>
    <x:tableColumn id="8" name="Session ID"/>
    <x:tableColumn id="9" name="Agent Count"/>
    <x:tableColumn id="10" name="Start Time"/>
    <x:tableColumn id="11" name="End Time"/>
    <x:tableColumn id="12" name="Active Minutes"/>
    <x:tableColumn id="13" name="Input Tokens"/>
    <x:tableColumn id="14" name="Cached Input"/>
    <x:tableColumn id="15" name="Output Tokens"/>
    <x:tableColumn id="16" name="Credits Used"/>
    <x:tableColumn id="17" name="Usage Cost USD"/>
    <x:tableColumn id="18" name="Usage Cost VND"/>
    <x:tableColumn id="19" name="Limit Event"/>
    <x:tableColumn id="20" name="Rerun"/>
    <x:tableColumn id="21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stTable" displayName="CostTable" ref="A3:M203" headerRowCount="1" totalsRowCount="0" totalsRowShown="0">
  <x:tableColumns count="13">
    <x:tableColumn id="1" name="Date"/>
    <x:tableColumn id="2" name="Category"/>
    <x:tableColumn id="3" name="Provider"/>
    <x:tableColumn id="4" name="Description"/>
    <x:tableColumn id="5" name="Cost Type"/>
    <x:tableColumn id="6" name="Currency"/>
    <x:tableColumn id="7" name="Amount"/>
    <x:tableColumn id="8" name="FX to VND"/>
    <x:tableColumn id="9" name="Amount VND"/>
    <x:tableColumn id="10" name="Allocation"/>
    <x:tableColumn id="11" name="Story ID"/>
    <x:tableColumn id="12" name="Evidence URL"/>
    <x:tableColumn id="13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ilyTeamTable" displayName="DailyTeamTable" ref="A3:N103" headerRowCount="1" totalsRowCount="0" totalsRowShown="0">
  <x:tableColumns count="14">
    <x:tableColumn id="1" name="Date"/>
    <x:tableColumn id="2" name="Member"/>
    <x:tableColumn id="3" name="Planned Hours"/>
    <x:tableColumn id="4" name="Actual Hours"/>
    <x:tableColumn id="5" name="Analysis/Prompting"/>
    <x:tableColumn id="6" name="Agent Supervision"/>
    <x:tableColumn id="7" name="Review"/>
    <x:tableColumn id="8" name="Testing"/>
    <x:tableColumn id="9" name="Fix/Rework"/>
    <x:tableColumn id="10" name="Integration/Deploy"/>
    <x:tableColumn id="11" name="PM/Docs"/>
    <x:tableColumn id="12" name="Meeting/Other"/>
    <x:tableColumn id="13" name="Variance"/>
    <x:tableColumn id="1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0eca988ffcf44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5ee842f3dfa4e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d9cd2e72cd647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d6c09dde9dd42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efb9f23c8d54b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9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3" t="str">
        <x:v>ROSIHOME — PILOT MEASUREMENT FORM</x:v>
      </x:c>
      <x:c r="B1" s="3" t="str">
        <x:v>ROSIHOME — PILOT MEASUREMENT FORM</x:v>
      </x:c>
      <x:c r="C1" s="3" t="str">
        <x:v>ROSIHOME — PILOT MEASUREMENT FORM</x:v>
      </x:c>
      <x:c r="D1" s="3" t="str">
        <x:v>ROSIHOME — PILOT MEASUREMENT FORM</x:v>
      </x:c>
      <x:c r="E1" s="3" t="str">
        <x:v>ROSIHOME — PILOT MEASUREMENT FORM</x:v>
      </x:c>
      <x:c r="F1" s="3" t="str">
        <x:v>ROSIHOME — PILOT MEASUREMENT FORM</x:v>
      </x:c>
      <x:c r="G1" s="3" t="str">
        <x:v>ROSIHOME — PILOT MEASUREMENT FORM</x:v>
      </x:c>
      <x:c r="H1" s="3" t="str">
        <x:v>ROSIHOME — PILOT MEASUREMENT FORM</x:v>
      </x:c>
    </x:row>
    <x:row r="2" ht="30" customHeight="1">
      <x:c r="A2" s="7" t="str">
        <x:v>Workbook nhập dữ liệu Cost–Time–Resources cho pilot AI-assisted development 5 ngày. Các ô xanh nhạt là ô nhập; ô xanh lá là công thức.</x:v>
      </x:c>
      <x:c r="B2" s="7" t="str">
        <x:v>Workbook nhập dữ liệu Cost–Time–Resources cho pilot AI-assisted development 5 ngày. Các ô xanh nhạt là ô nhập; ô xanh lá là công thức.</x:v>
      </x:c>
      <x:c r="C2" s="7" t="str">
        <x:v>Workbook nhập dữ liệu Cost–Time–Resources cho pilot AI-assisted development 5 ngày. Các ô xanh nhạt là ô nhập; ô xanh lá là công thức.</x:v>
      </x:c>
      <x:c r="D2" s="7" t="str">
        <x:v>Workbook nhập dữ liệu Cost–Time–Resources cho pilot AI-assisted development 5 ngày. Các ô xanh nhạt là ô nhập; ô xanh lá là công thức.</x:v>
      </x:c>
      <x:c r="E2" s="7" t="str">
        <x:v>Workbook nhập dữ liệu Cost–Time–Resources cho pilot AI-assisted development 5 ngày. Các ô xanh nhạt là ô nhập; ô xanh lá là công thức.</x:v>
      </x:c>
      <x:c r="F2" s="7" t="str">
        <x:v>Workbook nhập dữ liệu Cost–Time–Resources cho pilot AI-assisted development 5 ngày. Các ô xanh nhạt là ô nhập; ô xanh lá là công thức.</x:v>
      </x:c>
      <x:c r="G2" s="7" t="str">
        <x:v>Workbook nhập dữ liệu Cost–Time–Resources cho pilot AI-assisted development 5 ngày. Các ô xanh nhạt là ô nhập; ô xanh lá là công thức.</x:v>
      </x:c>
      <x:c r="H2" s="7" t="str">
        <x:v>Workbook nhập dữ liệu Cost–Time–Resources cho pilot AI-assisted development 5 ngày. Các ô xanh nhạt là ô nhập; ô xanh lá là công thức.</x:v>
      </x:c>
    </x:row>
    <x:row r="4" ht="36" customHeight="1">
      <x:c r="A4" s="13" t="str">
        <x:v>Bước</x:v>
      </x:c>
      <x:c r="B4" s="13" t="str">
        <x:v>Thực hiện</x:v>
      </x:c>
    </x:row>
    <x:row r="5">
      <x:c r="A5" s="15" t="str">
        <x:v>1</x:v>
      </x:c>
      <x:c r="B5" s="16" t="str">
        <x:v>Điền ngày pilot, tỷ giá và danh mục thành viên trong sheet Setup &amp; Lists.</x:v>
      </x:c>
    </x:row>
    <x:row r="6">
      <x:c r="A6" s="15" t="str">
        <x:v>2</x:v>
      </x:c>
      <x:c r="B6" s="16" t="str">
        <x:v>Tạo một dòng cho mỗi user story trong Stories trước khi bắt đầu.</x:v>
      </x:c>
    </x:row>
    <x:row r="7">
      <x:c r="A7" s="15" t="str">
        <x:v>3</x:v>
      </x:c>
      <x:c r="B7" s="16" t="str">
        <x:v>Mỗi thành viên ghi các block thời gian thực tế trong Human Time Log.</x:v>
      </x:c>
    </x:row>
    <x:row r="8">
      <x:c r="A8" s="15" t="str">
        <x:v>4</x:v>
      </x:c>
      <x:c r="B8" s="16" t="str">
        <x:v>Ghi từng session Codex/Antigravity trong AI Usage Log; không tự bịa token nếu công cụ không hiển thị.</x:v>
      </x:c>
    </x:row>
    <x:row r="9">
      <x:c r="A9" s="15" t="str">
        <x:v>5</x:v>
      </x:c>
      <x:c r="B9" s="16" t="str">
        <x:v>Ghi mọi khoản tiền hoặc resource credit trong Cost Log.</x:v>
      </x:c>
    </x:row>
    <x:row r="10">
      <x:c r="A10" s="15" t="str">
        <x:v>6</x:v>
      </x:c>
      <x:c r="B10" s="16" t="str">
        <x:v>Daily Team Log tự cộng giờ theo thành viên/ngày từ Human Time Log.</x:v>
      </x:c>
    </x:row>
    <x:row r="11">
      <x:c r="A11" s="15" t="str">
        <x:v>7</x:v>
      </x:c>
      <x:c r="B11" s="16" t="str">
        <x:v>Dashboard tự tổng hợp throughput, effort, quality và cost.</x:v>
      </x:c>
    </x:row>
    <x:row r="13">
      <x:c r="A13" s="18" t="str">
        <x:v>Quy tắc bắt buộc</x:v>
      </x:c>
      <x:c r="B13" s="18" t="str">
        <x:v>Quy tắc bắt buộc</x:v>
      </x:c>
      <x:c r="C13" s="18" t="str">
        <x:v>Quy tắc bắt buộc</x:v>
      </x:c>
      <x:c r="D13" s="18" t="str">
        <x:v>Quy tắc bắt buộc</x:v>
      </x:c>
      <x:c r="E13" s="18" t="str">
        <x:v>Quy tắc bắt buộc</x:v>
      </x:c>
      <x:c r="F13" s="18" t="str">
        <x:v>Quy tắc bắt buộc</x:v>
      </x:c>
      <x:c r="G13" s="18" t="str">
        <x:v>Quy tắc bắt buộc</x:v>
      </x:c>
      <x:c r="H13" s="18" t="str">
        <x:v>Quy tắc bắt buộc</x:v>
      </x:c>
    </x:row>
    <x:row r="14">
      <x:c r="A14" s="21" t="str">
        <x:v>• Chỉ story đạt toàn bộ acceptance criteria, review, test và deploy thành công mới được chọn Outcome = Accepted Done.</x:v>
      </x:c>
      <x:c r="B14" s="21"/>
      <x:c r="C14" s="21"/>
      <x:c r="D14" s="21"/>
      <x:c r="E14" s="21"/>
      <x:c r="F14" s="21"/>
      <x:c r="G14" s="21"/>
      <x:c r="H14" s="21"/>
    </x:row>
    <x:row r="15">
      <x:c r="A15" s="21" t="str">
        <x:v>• Human effort là thời gian con người chủ động làm việc; thời gian chờ agent không tự động được tính là effort.</x:v>
      </x:c>
      <x:c r="B15" s="21"/>
      <x:c r="C15" s="21"/>
      <x:c r="D15" s="21"/>
      <x:c r="E15" s="21"/>
      <x:c r="F15" s="21"/>
      <x:c r="G15" s="21"/>
      <x:c r="H15" s="21"/>
    </x:row>
    <x:row r="16">
      <x:c r="A16" s="21" t="str">
        <x:v>• Một khoản subscription hoặc API cost chỉ được ghi một lần; không double-count trong AI Usage Log và Cost Log.</x:v>
      </x:c>
      <x:c r="B16" s="21"/>
      <x:c r="C16" s="21"/>
      <x:c r="D16" s="21"/>
      <x:c r="E16" s="21"/>
      <x:c r="F16" s="21"/>
      <x:c r="G16" s="21"/>
      <x:c r="H16" s="21"/>
    </x:row>
    <x:row r="17">
      <x:c r="A17" s="21" t="str">
        <x:v>• Nếu subscription không hiển thị token, để trống token và ghi credits/session/task thực tế.</x:v>
      </x:c>
      <x:c r="B17" s="21"/>
      <x:c r="C17" s="21"/>
      <x:c r="D17" s="21"/>
      <x:c r="E17" s="21"/>
      <x:c r="F17" s="21"/>
      <x:c r="G17" s="21"/>
      <x:c r="H17" s="21"/>
    </x:row>
    <x:row r="18">
      <x:c r="A18" s="21" t="str">
        <x:v>• Technical enabler được ghi trong Stories với Class = Enabler nhưng không trộn vào user-story throughput.</x:v>
      </x:c>
      <x:c r="B18" s="21"/>
      <x:c r="C18" s="21"/>
      <x:c r="D18" s="21"/>
      <x:c r="E18" s="21"/>
      <x:c r="F18" s="21"/>
      <x:c r="G18" s="21"/>
      <x:c r="H18" s="21"/>
    </x:row>
    <x:row r="19">
      <x:c r="A19" s="21" t="str">
        <x:v>• Không sử dụng dữ liệu tenant thật, bank credential hoặc secret trong pilot.</x:v>
      </x:c>
      <x:c r="B19" s="21"/>
      <x:c r="C19" s="21"/>
      <x:c r="D19" s="21"/>
      <x:c r="E19" s="21"/>
      <x:c r="F19" s="21"/>
      <x:c r="G19" s="21"/>
      <x:c r="H19" s="21"/>
    </x:row>
    <x:row r="20">
      <x:c r="A20" s="21" t="str">
        <x:v>• Mỗi story phải có assignee và reviewer khác nhau.</x:v>
      </x:c>
      <x:c r="B20" s="21"/>
      <x:c r="C20" s="21"/>
      <x:c r="D20" s="21"/>
      <x:c r="E20" s="21"/>
      <x:c r="F20" s="21"/>
      <x:c r="G20" s="21"/>
      <x:c r="H20" s="21"/>
    </x:row>
    <x:row r="22">
      <x:c r="A22" s="18" t="str">
        <x:v>Màu sắc</x:v>
      </x:c>
      <x:c r="B22" s="18" t="str">
        <x:v>Màu sắc</x:v>
      </x:c>
      <x:c r="C22" s="18" t="str">
        <x:v>Màu sắc</x:v>
      </x:c>
      <x:c r="D22" s="18" t="str">
        <x:v>Màu sắc</x:v>
      </x:c>
      <x:c r="E22" s="18" t="str">
        <x:v>Màu sắc</x:v>
      </x:c>
      <x:c r="F22" s="18" t="str">
        <x:v>Màu sắc</x:v>
      </x:c>
      <x:c r="G22" s="18" t="str">
        <x:v>Màu sắc</x:v>
      </x:c>
      <x:c r="H22" s="18" t="str">
        <x:v>Màu sắc</x:v>
      </x:c>
    </x:row>
    <x:row r="23">
      <x:c r="A23" s="22" t="str">
        <x:v>Xanh nhạt</x:v>
      </x:c>
      <x:c r="B23" t="str">
        <x:v>Nhập thủ công</x:v>
      </x:c>
    </x:row>
    <x:row r="24">
      <x:c r="A24" s="23" t="str">
        <x:v>Xanh lá</x:v>
      </x:c>
      <x:c r="B24" t="str">
        <x:v>Công thức — không sửa</x:v>
      </x:c>
    </x:row>
    <x:row r="25">
      <x:c r="A25" s="24" t="str">
        <x:v>Vàng</x:v>
      </x:c>
      <x:c r="B25" t="str">
        <x:v>Cảnh báo hoặc dữ liệu cần xác nhận</x:v>
      </x:c>
    </x:row>
  </x:sheetData>
  <x:mergeCells>
    <x:mergeCell ref="A1:H1"/>
    <x:mergeCell ref="A2:H2"/>
    <x:mergeCell ref="A13:H13"/>
    <x:mergeCell ref="A14:H14"/>
    <x:mergeCell ref="A15:H15"/>
    <x:mergeCell ref="A16:H16"/>
    <x:mergeCell ref="A17:H17"/>
    <x:mergeCell ref="A18:H18"/>
    <x:mergeCell ref="A19:H19"/>
    <x:mergeCell ref="A20:H20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6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</x:cols>
  <x:sheetData>
    <x:row r="1" ht="34" customHeight="1">
      <x:c r="A1" s="93" t="str">
        <x:v>SETUP &amp; LISTS</x:v>
      </x:c>
      <x:c r="B1" s="93" t="str">
        <x:v>SETUP &amp; LISTS</x:v>
      </x:c>
      <x:c r="C1" s="93" t="str">
        <x:v>SETUP &amp; LISTS</x:v>
      </x:c>
      <x:c r="D1" s="93" t="str">
        <x:v>SETUP &amp; LISTS</x:v>
      </x:c>
      <x:c r="E1" s="93" t="str">
        <x:v>SETUP &amp; LISTS</x:v>
      </x:c>
      <x:c r="F1" s="93" t="str">
        <x:v>SETUP &amp; LISTS</x:v>
      </x:c>
      <x:c r="G1" s="94"/>
      <x:c r="H1" s="94"/>
      <x:c r="I1" s="94"/>
      <x:c r="J1" s="94"/>
      <x:c r="K1" s="94"/>
      <x:c r="L1" s="94"/>
      <x:c r="M1" s="94"/>
      <x:c r="N1" s="94"/>
      <x:c r="O1" s="94"/>
    </x:row>
    <x:row r="2" ht="30" customHeight="1">
      <x:c r="A2" s="95" t="str">
        <x:v>Chỉ sửa các ô xanh nhạt. Không đổi thứ tự danh mục trong khi pilot đang chạy.</x:v>
      </x:c>
      <x:c r="B2" s="95" t="str">
        <x:v>Chỉ sửa các ô xanh nhạt. Không đổi thứ tự danh mục trong khi pilot đang chạy.</x:v>
      </x:c>
      <x:c r="C2" s="95" t="str">
        <x:v>Chỉ sửa các ô xanh nhạt. Không đổi thứ tự danh mục trong khi pilot đang chạy.</x:v>
      </x:c>
      <x:c r="D2" s="95" t="str">
        <x:v>Chỉ sửa các ô xanh nhạt. Không đổi thứ tự danh mục trong khi pilot đang chạy.</x:v>
      </x:c>
      <x:c r="E2" s="95" t="str">
        <x:v>Chỉ sửa các ô xanh nhạt. Không đổi thứ tự danh mục trong khi pilot đang chạy.</x:v>
      </x:c>
      <x:c r="F2" s="95" t="str">
        <x:v>Chỉ sửa các ô xanh nhạt. Không đổi thứ tự danh mục trong khi pilot đang chạy.</x:v>
      </x:c>
      <x:c r="G2" s="94"/>
      <x:c r="H2" s="94"/>
      <x:c r="I2" s="94"/>
      <x:c r="J2" s="94"/>
      <x:c r="K2" s="94"/>
      <x:c r="L2" s="94"/>
      <x:c r="M2" s="94"/>
      <x:c r="N2" s="94"/>
      <x:c r="O2" s="94"/>
    </x:row>
    <x:row r="3">
      <x:c r="A3" s="94"/>
      <x:c r="B3" s="94"/>
      <x:c r="C3" s="94"/>
      <x:c r="D3" s="94"/>
      <x:c r="E3" s="94"/>
      <x:c r="F3" s="94"/>
      <x:c r="G3" s="94"/>
      <x:c r="H3" s="94"/>
      <x:c r="I3" s="94"/>
      <x:c r="J3" s="94"/>
      <x:c r="K3" s="94"/>
      <x:c r="L3" s="94"/>
      <x:c r="M3" s="94"/>
      <x:c r="N3" s="94"/>
      <x:c r="O3" s="94"/>
    </x:row>
    <x:row r="4" ht="36" customHeight="1">
      <x:c r="A4" s="96" t="str">
        <x:v>Cấu hình pilot</x:v>
      </x:c>
      <x:c r="B4" s="96" t="str">
        <x:v>Giá trị</x:v>
      </x:c>
      <x:c r="C4" s="94"/>
      <x:c r="D4" s="94"/>
      <x:c r="E4" s="94"/>
      <x:c r="F4" s="94"/>
      <x:c r="G4" s="94"/>
      <x:c r="H4" s="94"/>
      <x:c r="I4" s="94"/>
      <x:c r="J4" s="94"/>
      <x:c r="K4" s="94"/>
      <x:c r="L4" s="94"/>
      <x:c r="M4" s="94"/>
      <x:c r="N4" s="94"/>
      <x:c r="O4" s="94"/>
    </x:row>
    <x:row r="5">
      <x:c r="A5" s="94" t="str">
        <x:v>Tên pilot</x:v>
      </x:c>
      <x:c r="B5" s="97" t="str">
        <x:v>RosiHome AI-assisted Pilot</x:v>
      </x:c>
      <x:c r="C5" s="94"/>
      <x:c r="D5" s="94"/>
      <x:c r="E5" s="94"/>
      <x:c r="F5" s="94"/>
      <x:c r="G5" s="94"/>
      <x:c r="H5" s="94"/>
      <x:c r="I5" s="94"/>
      <x:c r="J5" s="94"/>
      <x:c r="K5" s="94"/>
      <x:c r="L5" s="94"/>
      <x:c r="M5" s="94"/>
      <x:c r="N5" s="94"/>
      <x:c r="O5" s="94"/>
    </x:row>
    <x:row r="6">
      <x:c r="A6" s="94" t="str">
        <x:v>Ngày bắt đầu</x:v>
      </x:c>
      <x:c r="B6" s="98"/>
      <x:c r="C6" s="94"/>
      <x:c r="D6" s="94"/>
      <x:c r="E6" s="94"/>
      <x:c r="F6" s="94"/>
      <x:c r="G6" s="94"/>
      <x:c r="H6" s="94"/>
      <x:c r="I6" s="94"/>
      <x:c r="J6" s="94"/>
      <x:c r="K6" s="94"/>
      <x:c r="L6" s="94"/>
      <x:c r="M6" s="94"/>
      <x:c r="N6" s="94"/>
      <x:c r="O6" s="94"/>
    </x:row>
    <x:row r="7">
      <x:c r="A7" s="94" t="str">
        <x:v>Ngày kết thúc</x:v>
      </x:c>
      <x:c r="B7" s="98"/>
      <x:c r="C7" s="94"/>
      <x:c r="D7" s="94"/>
      <x:c r="E7" s="94"/>
      <x:c r="F7" s="94"/>
      <x:c r="G7" s="94"/>
      <x:c r="H7" s="94"/>
      <x:c r="I7" s="94"/>
      <x:c r="J7" s="94"/>
      <x:c r="K7" s="94"/>
      <x:c r="L7" s="94"/>
      <x:c r="M7" s="94"/>
      <x:c r="N7" s="94"/>
      <x:c r="O7" s="94"/>
    </x:row>
    <x:row r="8">
      <x:c r="A8" s="94" t="str">
        <x:v>USD/VND</x:v>
      </x:c>
      <x:c r="B8" s="99"/>
      <x:c r="C8" s="94"/>
      <x:c r="D8" s="94"/>
      <x:c r="E8" s="94"/>
      <x:c r="F8" s="94"/>
      <x:c r="G8" s="94"/>
      <x:c r="H8" s="94"/>
      <x:c r="I8" s="94"/>
      <x:c r="J8" s="94"/>
      <x:c r="K8" s="94"/>
      <x:c r="L8" s="94"/>
      <x:c r="M8" s="94"/>
      <x:c r="N8" s="94"/>
      <x:c r="O8" s="94"/>
    </x:row>
    <x:row r="9">
      <x:c r="A9" s="94" t="str">
        <x:v>Số ngày làm việc</x:v>
      </x:c>
      <x:c r="B9" s="100" t="n">
        <x:v>5</x:v>
      </x:c>
      <x:c r="C9" s="94"/>
      <x:c r="D9" s="94"/>
      <x:c r="E9" s="94"/>
      <x:c r="F9" s="94"/>
      <x:c r="G9" s="94"/>
      <x:c r="H9" s="94"/>
      <x:c r="I9" s="94"/>
      <x:c r="J9" s="94"/>
      <x:c r="K9" s="94"/>
      <x:c r="L9" s="94"/>
      <x:c r="M9" s="94"/>
      <x:c r="N9" s="94"/>
      <x:c r="O9" s="94"/>
    </x:row>
    <x:row r="10">
      <x:c r="A10" s="94" t="str">
        <x:v>Số thành viên</x:v>
      </x:c>
      <x:c r="B10" s="100" t="n">
        <x:v>5</x:v>
      </x:c>
      <x:c r="C10" s="94"/>
      <x:c r="D10" s="94"/>
      <x:c r="E10" s="94"/>
      <x:c r="F10" s="94"/>
      <x:c r="G10" s="94"/>
      <x:c r="H10" s="94"/>
      <x:c r="I10" s="94"/>
      <x:c r="J10" s="94"/>
      <x:c r="K10" s="94"/>
      <x:c r="L10" s="94"/>
      <x:c r="M10" s="94"/>
      <x:c r="N10" s="94"/>
      <x:c r="O10" s="94"/>
    </x:row>
    <x:row r="11">
      <x:c r="A11" s="94" t="str">
        <x:v>Giờ/người/ngày tối thiểu</x:v>
      </x:c>
      <x:c r="B11" s="100" t="n">
        <x:v>3</x:v>
      </x:c>
      <x:c r="C11" s="94"/>
      <x:c r="D11" s="94"/>
      <x:c r="E11" s="94"/>
      <x:c r="F11" s="94"/>
      <x:c r="G11" s="94"/>
      <x:c r="H11" s="94"/>
      <x:c r="I11" s="94"/>
      <x:c r="J11" s="94"/>
      <x:c r="K11" s="94"/>
      <x:c r="L11" s="94"/>
      <x:c r="M11" s="94"/>
      <x:c r="N11" s="94"/>
      <x:c r="O11" s="94"/>
    </x:row>
    <x:row r="12">
      <x:c r="A12" s="94" t="str">
        <x:v>Giờ/người/ngày tối đa</x:v>
      </x:c>
      <x:c r="B12" s="101" t="n">
        <x:v>4</x:v>
      </x:c>
      <x:c r="C12" s="94"/>
      <x:c r="D12" s="94"/>
      <x:c r="E12" s="94"/>
      <x:c r="F12" s="94"/>
      <x:c r="G12" s="94"/>
      <x:c r="H12" s="94"/>
      <x:c r="I12" s="94"/>
      <x:c r="J12" s="94"/>
      <x:c r="K12" s="94"/>
      <x:c r="L12" s="94"/>
      <x:c r="M12" s="94"/>
      <x:c r="N12" s="94"/>
      <x:c r="O12" s="94"/>
    </x:row>
    <x:row r="13">
      <x:c r="A13" s="94"/>
      <x:c r="B13" s="94"/>
      <x:c r="C13" s="94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</x:row>
    <x:row r="14">
      <x:c r="A14" s="94"/>
      <x:c r="B14" s="94"/>
      <x:c r="C14" s="94"/>
      <x:c r="D14" s="94"/>
      <x:c r="E14" s="94"/>
      <x:c r="F14" s="94"/>
      <x:c r="G14" s="94"/>
      <x:c r="H14" s="94"/>
      <x:c r="I14" s="94"/>
      <x:c r="J14" s="94"/>
      <x:c r="K14" s="94"/>
      <x:c r="L14" s="94"/>
      <x:c r="M14" s="94"/>
      <x:c r="N14" s="94"/>
      <x:c r="O14" s="94"/>
    </x:row>
    <x:row r="15">
      <x:c r="A15" s="102" t="str">
        <x:v>Member</x:v>
      </x:c>
      <x:c r="B15" s="102" t="str">
        <x:v>Class</x:v>
      </x:c>
      <x:c r="C15" s="102" t="str">
        <x:v>Priority</x:v>
      </x:c>
      <x:c r="D15" s="102" t="str">
        <x:v>Cohort</x:v>
      </x:c>
      <x:c r="E15" s="102" t="str">
        <x:v>Provider</x:v>
      </x:c>
      <x:c r="F15" s="102" t="str">
        <x:v>Surface</x:v>
      </x:c>
      <x:c r="G15" s="102" t="str">
        <x:v>Model</x:v>
      </x:c>
      <x:c r="H15" s="102" t="str">
        <x:v>Status</x:v>
      </x:c>
      <x:c r="I15" s="102" t="str">
        <x:v>Outcome</x:v>
      </x:c>
      <x:c r="J15" s="102" t="str">
        <x:v>Activity</x:v>
      </x:c>
      <x:c r="K15" s="102" t="str">
        <x:v>YesNo</x:v>
      </x:c>
      <x:c r="L15" s="102" t="str">
        <x:v>Cost Category</x:v>
      </x:c>
      <x:c r="M15" s="102" t="str">
        <x:v>Cost Type</x:v>
      </x:c>
      <x:c r="N15" s="102" t="str">
        <x:v>Currency</x:v>
      </x:c>
      <x:c r="O15" s="102" t="str">
        <x:v>Allocation</x:v>
      </x:c>
    </x:row>
    <x:row r="16">
      <x:c r="A16" s="103" t="str">
        <x:v>M1</x:v>
      </x:c>
      <x:c r="B16" s="103" t="str">
        <x:v>A — Simple</x:v>
      </x:c>
      <x:c r="C16" s="103" t="str">
        <x:v>Critical</x:v>
      </x:c>
      <x:c r="D16" s="103" t="str">
        <x:v>OpenAI</x:v>
      </x:c>
      <x:c r="E16" s="103" t="str">
        <x:v>OpenAI</x:v>
      </x:c>
      <x:c r="F16" s="103" t="str">
        <x:v>Codex Desktop</x:v>
      </x:c>
      <x:c r="G16" s="103" t="str">
        <x:v>GPT-5.6 Sol</x:v>
      </x:c>
      <x:c r="H16" s="103" t="str">
        <x:v>Backlog</x:v>
      </x:c>
      <x:c r="I16" s="103" t="str">
        <x:v>Accepted Done</x:v>
      </x:c>
      <x:c r="J16" s="103" t="str">
        <x:v>Analysis &amp; Prompting</x:v>
      </x:c>
      <x:c r="K16" s="103" t="str">
        <x:v>Yes</x:v>
      </x:c>
      <x:c r="L16" s="103" t="str">
        <x:v>AI Subscription</x:v>
      </x:c>
      <x:c r="M16" s="103" t="str">
        <x:v>Cash</x:v>
      </x:c>
      <x:c r="N16" s="103" t="str">
        <x:v>VND</x:v>
      </x:c>
      <x:c r="O16" s="103" t="str">
        <x:v>Pilot</x:v>
      </x:c>
    </x:row>
    <x:row r="17">
      <x:c r="A17" s="103" t="str">
        <x:v>M2</x:v>
      </x:c>
      <x:c r="B17" s="103" t="str">
        <x:v>B — Business Rule</x:v>
      </x:c>
      <x:c r="C17" s="103" t="str">
        <x:v>High</x:v>
      </x:c>
      <x:c r="D17" s="103" t="str">
        <x:v>Google</x:v>
      </x:c>
      <x:c r="E17" s="103" t="str">
        <x:v>Google</x:v>
      </x:c>
      <x:c r="F17" s="103" t="str">
        <x:v>Codex CLI</x:v>
      </x:c>
      <x:c r="G17" s="103" t="str">
        <x:v>Gemini 3.1 Pro</x:v>
      </x:c>
      <x:c r="H17" s="103" t="str">
        <x:v>Ready</x:v>
      </x:c>
      <x:c r="I17" s="103" t="str">
        <x:v>Carried Over</x:v>
      </x:c>
      <x:c r="J17" s="103" t="str">
        <x:v>Agent Supervision</x:v>
      </x:c>
      <x:c r="K17" s="103" t="str">
        <x:v>No</x:v>
      </x:c>
      <x:c r="L17" s="103" t="str">
        <x:v>AI Credits/API</x:v>
      </x:c>
      <x:c r="M17" s="103" t="str">
        <x:v>Economic</x:v>
      </x:c>
      <x:c r="N17" s="103" t="str">
        <x:v>USD</x:v>
      </x:c>
      <x:c r="O17" s="103" t="str">
        <x:v>Monthly</x:v>
      </x:c>
    </x:row>
    <x:row r="18">
      <x:c r="A18" s="103" t="str">
        <x:v>M3</x:v>
      </x:c>
      <x:c r="B18" s="103" t="str">
        <x:v>C — Cross-layer</x:v>
      </x:c>
      <x:c r="C18" s="103" t="str">
        <x:v>Medium</x:v>
      </x:c>
      <x:c r="D18" s="103" t="str">
        <x:v>Mixed</x:v>
      </x:c>
      <x:c r="E18" s="103" t="str">
        <x:v>Other</x:v>
      </x:c>
      <x:c r="F18" s="103" t="str">
        <x:v>Antigravity</x:v>
      </x:c>
      <x:c r="G18" s="103" t="str">
        <x:v>Other</x:v>
      </x:c>
      <x:c r="H18" s="103" t="str">
        <x:v>AI Implementing</x:v>
      </x:c>
      <x:c r="I18" s="103" t="str">
        <x:v>Split</x:v>
      </x:c>
      <x:c r="J18" s="103" t="str">
        <x:v>Human Review</x:v>
      </x:c>
      <x:c r="K18" s="103" t="str">
        <x:v>N/A</x:v>
      </x:c>
      <x:c r="L18" s="103" t="str">
        <x:v>Hosting/Compute</x:v>
      </x:c>
      <x:c r="M18" s="103" t="str">
        <x:v>Credited</x:v>
      </x:c>
      <x:c r="N18" s="94"/>
      <x:c r="O18" s="103" t="str">
        <x:v>MVP Project</x:v>
      </x:c>
    </x:row>
    <x:row r="19">
      <x:c r="A19" s="103" t="str">
        <x:v>M4</x:v>
      </x:c>
      <x:c r="B19" s="103" t="str">
        <x:v>D — External/Deploy</x:v>
      </x:c>
      <x:c r="C19" s="103" t="str">
        <x:v>Low</x:v>
      </x:c>
      <x:c r="D19" s="94"/>
      <x:c r="E19" s="94"/>
      <x:c r="F19" s="103" t="str">
        <x:v>Other</x:v>
      </x:c>
      <x:c r="G19" s="94"/>
      <x:c r="H19" s="103" t="str">
        <x:v>Human Review</x:v>
      </x:c>
      <x:c r="I19" s="103" t="str">
        <x:v>Failed</x:v>
      </x:c>
      <x:c r="J19" s="103" t="str">
        <x:v>Testing / Acceptance</x:v>
      </x:c>
      <x:c r="K19" s="94"/>
      <x:c r="L19" s="103" t="str">
        <x:v>Database/Storage</x:v>
      </x:c>
      <x:c r="M19" s="94"/>
      <x:c r="N19" s="94"/>
      <x:c r="O19" s="103" t="str">
        <x:v>12-month TCO</x:v>
      </x:c>
    </x:row>
    <x:row r="20">
      <x:c r="A20" s="103" t="str">
        <x:v>M5</x:v>
      </x:c>
      <x:c r="B20" s="103" t="str">
        <x:v>E — Foundation/High-risk</x:v>
      </x:c>
      <x:c r="C20" s="94"/>
      <x:c r="D20" s="94"/>
      <x:c r="E20" s="94"/>
      <x:c r="F20" s="94"/>
      <x:c r="G20" s="94"/>
      <x:c r="H20" s="103" t="str">
        <x:v>Testing / Acceptance</x:v>
      </x:c>
      <x:c r="I20" s="103" t="str">
        <x:v>Cancelled</x:v>
      </x:c>
      <x:c r="J20" s="103" t="str">
        <x:v>Fix / Rework</x:v>
      </x:c>
      <x:c r="K20" s="94"/>
      <x:c r="L20" s="103" t="str">
        <x:v>Domain/Security</x:v>
      </x:c>
      <x:c r="M20" s="94"/>
      <x:c r="N20" s="94"/>
      <x:c r="O20" s="94"/>
    </x:row>
    <x:row r="21">
      <x:c r="A21" s="94"/>
      <x:c r="B21" s="103" t="str">
        <x:v>Enabler</x:v>
      </x:c>
      <x:c r="C21" s="94"/>
      <x:c r="D21" s="94"/>
      <x:c r="E21" s="94"/>
      <x:c r="F21" s="94"/>
      <x:c r="G21" s="94"/>
      <x:c r="H21" s="103" t="str">
        <x:v>Integration</x:v>
      </x:c>
      <x:c r="I21" s="103" t="str">
        <x:v>Blocked</x:v>
      </x:c>
      <x:c r="J21" s="103" t="str">
        <x:v>Integration / Deployment</x:v>
      </x:c>
      <x:c r="K21" s="94"/>
      <x:c r="L21" s="103" t="str">
        <x:v>CI/CD</x:v>
      </x:c>
      <x:c r="M21" s="94"/>
      <x:c r="N21" s="94"/>
      <x:c r="O21" s="94"/>
    </x:row>
    <x:row r="22">
      <x:c r="A22" s="94"/>
      <x:c r="B22" s="94"/>
      <x:c r="C22" s="94"/>
      <x:c r="D22" s="94"/>
      <x:c r="E22" s="94"/>
      <x:c r="F22" s="94"/>
      <x:c r="G22" s="94"/>
      <x:c r="H22" s="103" t="str">
        <x:v>Deployment</x:v>
      </x:c>
      <x:c r="I22" s="103" t="str">
        <x:v>Enabler Done</x:v>
      </x:c>
      <x:c r="J22" s="103" t="str">
        <x:v>PM / Documentation</x:v>
      </x:c>
      <x:c r="K22" s="94"/>
      <x:c r="L22" s="103" t="str">
        <x:v>Monitoring/Logging</x:v>
      </x:c>
      <x:c r="M22" s="94"/>
      <x:c r="N22" s="94"/>
      <x:c r="O22" s="94"/>
    </x:row>
    <x:row r="23">
      <x:c r="A23" s="94"/>
      <x:c r="B23" s="94"/>
      <x:c r="C23" s="94"/>
      <x:c r="D23" s="94"/>
      <x:c r="E23" s="94"/>
      <x:c r="F23" s="94"/>
      <x:c r="G23" s="94"/>
      <x:c r="H23" s="103" t="str">
        <x:v>Accepted Done</x:v>
      </x:c>
      <x:c r="I23" s="94"/>
      <x:c r="J23" s="103" t="str">
        <x:v>Meeting</x:v>
      </x:c>
      <x:c r="K23" s="94"/>
      <x:c r="L23" s="103" t="str">
        <x:v>Notification</x:v>
      </x:c>
      <x:c r="M23" s="94"/>
      <x:c r="N23" s="94"/>
      <x:c r="O23" s="94"/>
    </x:row>
    <x:row r="24">
      <x:c r="A24" s="94"/>
      <x:c r="B24" s="94"/>
      <x:c r="C24" s="94"/>
      <x:c r="D24" s="94"/>
      <x:c r="E24" s="94"/>
      <x:c r="F24" s="94"/>
      <x:c r="G24" s="94"/>
      <x:c r="H24" s="103" t="str">
        <x:v>Blocked</x:v>
      </x:c>
      <x:c r="I24" s="94"/>
      <x:c r="J24" s="103" t="str">
        <x:v>Other</x:v>
      </x:c>
      <x:c r="K24" s="94"/>
      <x:c r="L24" s="103" t="str">
        <x:v>Labor</x:v>
      </x:c>
      <x:c r="M24" s="94"/>
      <x:c r="N24" s="94"/>
      <x:c r="O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  <x:c r="K25" s="94"/>
      <x:c r="L25" s="103" t="str">
        <x:v>Other</x:v>
      </x:c>
      <x:c r="M25" s="94"/>
      <x:c r="N25" s="94"/>
      <x:c r="O25" s="94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6" hidden="0" customWidth="1"/>
    <x:col min="3" max="3" width="15" hidden="0" customWidth="1"/>
    <x:col min="4" max="4" width="15" hidden="0" customWidth="1"/>
    <x:col min="5" max="5" width="24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34" hidden="0" customWidth="1"/>
    <x:col min="31" max="31" width="42" hidden="0" customWidth="1"/>
  </x:cols>
  <x:sheetData>
    <x:row r="1" ht="34" customHeight="1">
      <x:c r="A1" s="93" t="str">
        <x:v>USER STORY REGISTER</x:v>
      </x:c>
      <x:c r="B1" s="93" t="str">
        <x:v>USER STORY REGISTER</x:v>
      </x:c>
      <x:c r="C1" s="93" t="str">
        <x:v>USER STORY REGISTER</x:v>
      </x:c>
      <x:c r="D1" s="93" t="str">
        <x:v>USER STORY REGISTER</x:v>
      </x:c>
      <x:c r="E1" s="93" t="str">
        <x:v>USER STORY REGISTER</x:v>
      </x:c>
      <x:c r="F1" s="93" t="str">
        <x:v>USER STORY REGISTER</x:v>
      </x:c>
      <x:c r="G1" s="93" t="str">
        <x:v>USER STORY REGISTER</x:v>
      </x:c>
      <x:c r="H1" s="93" t="str">
        <x:v>USER STORY REGISTER</x:v>
      </x:c>
      <x:c r="I1" s="93" t="str">
        <x:v>USER STORY REGISTER</x:v>
      </x:c>
      <x:c r="J1" s="93" t="str">
        <x:v>USER STORY REGISTER</x:v>
      </x:c>
      <x:c r="K1" s="93" t="str">
        <x:v>USER STORY REGISTER</x:v>
      </x:c>
      <x:c r="L1" s="93" t="str">
        <x:v>USER STORY REGISTER</x:v>
      </x:c>
      <x:c r="M1" s="93" t="str">
        <x:v>USER STORY REGISTER</x:v>
      </x:c>
      <x:c r="N1" s="93" t="str">
        <x:v>USER STORY REGISTER</x:v>
      </x:c>
      <x:c r="O1" s="93" t="str">
        <x:v>USER STORY REGISTER</x:v>
      </x:c>
      <x:c r="P1" s="93" t="str">
        <x:v>USER STORY REGISTER</x:v>
      </x:c>
      <x:c r="Q1" s="93" t="str">
        <x:v>USER STORY REGISTER</x:v>
      </x:c>
      <x:c r="R1" s="93" t="str">
        <x:v>USER STORY REGISTER</x:v>
      </x:c>
      <x:c r="S1" s="93" t="str">
        <x:v>USER STORY REGISTER</x:v>
      </x:c>
      <x:c r="T1" s="93" t="str">
        <x:v>USER STORY REGISTER</x:v>
      </x:c>
      <x:c r="U1" s="93" t="str">
        <x:v>USER STORY REGISTER</x:v>
      </x:c>
      <x:c r="V1" s="93" t="str">
        <x:v>USER STORY REGISTER</x:v>
      </x:c>
      <x:c r="W1" s="93" t="str">
        <x:v>USER STORY REGISTER</x:v>
      </x:c>
      <x:c r="X1" s="93" t="str">
        <x:v>USER STORY REGISTER</x:v>
      </x:c>
      <x:c r="Y1" s="93" t="str">
        <x:v>USER STORY REGISTER</x:v>
      </x:c>
      <x:c r="Z1" s="93" t="str">
        <x:v>USER STORY REGISTER</x:v>
      </x:c>
      <x:c r="AA1" s="93" t="str">
        <x:v>USER STORY REGISTER</x:v>
      </x:c>
      <x:c r="AB1" s="93" t="str">
        <x:v>USER STORY REGISTER</x:v>
      </x:c>
      <x:c r="AC1" s="93" t="str">
        <x:v>USER STORY REGISTER</x:v>
      </x:c>
      <x:c r="AD1" s="93" t="str">
        <x:v>USER STORY REGISTER</x:v>
      </x:c>
      <x:c r="AE1" s="93" t="str">
        <x:v>USER STORY REGISTER</x:v>
      </x:c>
    </x:row>
    <x:row r="2" ht="30" customHeight="1">
      <x:c r="A2" s="95" t="str">
        <x:v>Một dòng cho mỗi user story hoặc technical enabler. Timestamps dùng định dạng yyyy-mm-dd hh:mm.</x:v>
      </x:c>
      <x:c r="B2" s="95" t="str">
        <x:v>Một dòng cho mỗi user story hoặc technical enabler. Timestamps dùng định dạng yyyy-mm-dd hh:mm.</x:v>
      </x:c>
      <x:c r="C2" s="95" t="str">
        <x:v>Một dòng cho mỗi user story hoặc technical enabler. Timestamps dùng định dạng yyyy-mm-dd hh:mm.</x:v>
      </x:c>
      <x:c r="D2" s="95" t="str">
        <x:v>Một dòng cho mỗi user story hoặc technical enabler. Timestamps dùng định dạng yyyy-mm-dd hh:mm.</x:v>
      </x:c>
      <x:c r="E2" s="95" t="str">
        <x:v>Một dòng cho mỗi user story hoặc technical enabler. Timestamps dùng định dạng yyyy-mm-dd hh:mm.</x:v>
      </x:c>
      <x:c r="F2" s="95" t="str">
        <x:v>Một dòng cho mỗi user story hoặc technical enabler. Timestamps dùng định dạng yyyy-mm-dd hh:mm.</x:v>
      </x:c>
      <x:c r="G2" s="95" t="str">
        <x:v>Một dòng cho mỗi user story hoặc technical enabler. Timestamps dùng định dạng yyyy-mm-dd hh:mm.</x:v>
      </x:c>
      <x:c r="H2" s="95" t="str">
        <x:v>Một dòng cho mỗi user story hoặc technical enabler. Timestamps dùng định dạng yyyy-mm-dd hh:mm.</x:v>
      </x:c>
      <x:c r="I2" s="95" t="str">
        <x:v>Một dòng cho mỗi user story hoặc technical enabler. Timestamps dùng định dạng yyyy-mm-dd hh:mm.</x:v>
      </x:c>
      <x:c r="J2" s="95" t="str">
        <x:v>Một dòng cho mỗi user story hoặc technical enabler. Timestamps dùng định dạng yyyy-mm-dd hh:mm.</x:v>
      </x:c>
      <x:c r="K2" s="95" t="str">
        <x:v>Một dòng cho mỗi user story hoặc technical enabler. Timestamps dùng định dạng yyyy-mm-dd hh:mm.</x:v>
      </x:c>
      <x:c r="L2" s="95" t="str">
        <x:v>Một dòng cho mỗi user story hoặc technical enabler. Timestamps dùng định dạng yyyy-mm-dd hh:mm.</x:v>
      </x:c>
      <x:c r="M2" s="95" t="str">
        <x:v>Một dòng cho mỗi user story hoặc technical enabler. Timestamps dùng định dạng yyyy-mm-dd hh:mm.</x:v>
      </x:c>
      <x:c r="N2" s="95" t="str">
        <x:v>Một dòng cho mỗi user story hoặc technical enabler. Timestamps dùng định dạng yyyy-mm-dd hh:mm.</x:v>
      </x:c>
      <x:c r="O2" s="95" t="str">
        <x:v>Một dòng cho mỗi user story hoặc technical enabler. Timestamps dùng định dạng yyyy-mm-dd hh:mm.</x:v>
      </x:c>
      <x:c r="P2" s="95" t="str">
        <x:v>Một dòng cho mỗi user story hoặc technical enabler. Timestamps dùng định dạng yyyy-mm-dd hh:mm.</x:v>
      </x:c>
      <x:c r="Q2" s="95" t="str">
        <x:v>Một dòng cho mỗi user story hoặc technical enabler. Timestamps dùng định dạng yyyy-mm-dd hh:mm.</x:v>
      </x:c>
      <x:c r="R2" s="95" t="str">
        <x:v>Một dòng cho mỗi user story hoặc technical enabler. Timestamps dùng định dạng yyyy-mm-dd hh:mm.</x:v>
      </x:c>
      <x:c r="S2" s="95" t="str">
        <x:v>Một dòng cho mỗi user story hoặc technical enabler. Timestamps dùng định dạng yyyy-mm-dd hh:mm.</x:v>
      </x:c>
      <x:c r="T2" s="95" t="str">
        <x:v>Một dòng cho mỗi user story hoặc technical enabler. Timestamps dùng định dạng yyyy-mm-dd hh:mm.</x:v>
      </x:c>
      <x:c r="U2" s="95" t="str">
        <x:v>Một dòng cho mỗi user story hoặc technical enabler. Timestamps dùng định dạng yyyy-mm-dd hh:mm.</x:v>
      </x:c>
      <x:c r="V2" s="95" t="str">
        <x:v>Một dòng cho mỗi user story hoặc technical enabler. Timestamps dùng định dạng yyyy-mm-dd hh:mm.</x:v>
      </x:c>
      <x:c r="W2" s="95" t="str">
        <x:v>Một dòng cho mỗi user story hoặc technical enabler. Timestamps dùng định dạng yyyy-mm-dd hh:mm.</x:v>
      </x:c>
      <x:c r="X2" s="95" t="str">
        <x:v>Một dòng cho mỗi user story hoặc technical enabler. Timestamps dùng định dạng yyyy-mm-dd hh:mm.</x:v>
      </x:c>
      <x:c r="Y2" s="95" t="str">
        <x:v>Một dòng cho mỗi user story hoặc technical enabler. Timestamps dùng định dạng yyyy-mm-dd hh:mm.</x:v>
      </x:c>
      <x:c r="Z2" s="95" t="str">
        <x:v>Một dòng cho mỗi user story hoặc technical enabler. Timestamps dùng định dạng yyyy-mm-dd hh:mm.</x:v>
      </x:c>
      <x:c r="AA2" s="95" t="str">
        <x:v>Một dòng cho mỗi user story hoặc technical enabler. Timestamps dùng định dạng yyyy-mm-dd hh:mm.</x:v>
      </x:c>
      <x:c r="AB2" s="95" t="str">
        <x:v>Một dòng cho mỗi user story hoặc technical enabler. Timestamps dùng định dạng yyyy-mm-dd hh:mm.</x:v>
      </x:c>
      <x:c r="AC2" s="95" t="str">
        <x:v>Một dòng cho mỗi user story hoặc technical enabler. Timestamps dùng định dạng yyyy-mm-dd hh:mm.</x:v>
      </x:c>
      <x:c r="AD2" s="95" t="str">
        <x:v>Một dòng cho mỗi user story hoặc technical enabler. Timestamps dùng định dạng yyyy-mm-dd hh:mm.</x:v>
      </x:c>
      <x:c r="AE2" s="95" t="str">
        <x:v>Một dòng cho mỗi user story hoặc technical enabler. Timestamps dùng định dạng yyyy-mm-dd hh:mm.</x:v>
      </x:c>
    </x:row>
    <x:row r="3" ht="36" customHeight="1">
      <x:c r="A3" s="96" t="str">
        <x:v>Story ID</x:v>
      </x:c>
      <x:c r="B3" s="96" t="str">
        <x:v>Title</x:v>
      </x:c>
      <x:c r="C3" s="96" t="str">
        <x:v>Class</x:v>
      </x:c>
      <x:c r="D3" s="96" t="str">
        <x:v>Priority</x:v>
      </x:c>
      <x:c r="E3" s="96" t="str">
        <x:v>Workstream</x:v>
      </x:c>
      <x:c r="F3" s="96" t="str">
        <x:v>Cohort</x:v>
      </x:c>
      <x:c r="G3" s="96" t="str">
        <x:v>Provider</x:v>
      </x:c>
      <x:c r="H3" s="96" t="str">
        <x:v>Surface</x:v>
      </x:c>
      <x:c r="I3" s="96" t="str">
        <x:v>Model</x:v>
      </x:c>
      <x:c r="J3" s="96" t="str">
        <x:v>Assignee</x:v>
      </x:c>
      <x:c r="K3" s="96" t="str">
        <x:v>Reviewer</x:v>
      </x:c>
      <x:c r="L3" s="96" t="str">
        <x:v>Status</x:v>
      </x:c>
      <x:c r="M3" s="96" t="str">
        <x:v>Ready Time</x:v>
      </x:c>
      <x:c r="N3" s="96" t="str">
        <x:v>Start Time</x:v>
      </x:c>
      <x:c r="O3" s="96" t="str">
        <x:v>Code Complete</x:v>
      </x:c>
      <x:c r="P3" s="96" t="str">
        <x:v>Review Complete</x:v>
      </x:c>
      <x:c r="Q3" s="96" t="str">
        <x:v>Test Complete</x:v>
      </x:c>
      <x:c r="R3" s="96" t="str">
        <x:v>Deploy Time</x:v>
      </x:c>
      <x:c r="S3" s="96" t="str">
        <x:v>Accepted Time</x:v>
      </x:c>
      <x:c r="T3" s="96" t="str">
        <x:v>Outcome</x:v>
      </x:c>
      <x:c r="U3" s="96" t="str">
        <x:v>Cycle Hours</x:v>
      </x:c>
      <x:c r="V3" s="96" t="str">
        <x:v>AC Total</x:v>
      </x:c>
      <x:c r="W3" s="96" t="str">
        <x:v>AC Passed</x:v>
      </x:c>
      <x:c r="X3" s="96" t="str">
        <x:v>Acceptance Rate</x:v>
      </x:c>
      <x:c r="Y3" s="96" t="str">
        <x:v>CI Attempts</x:v>
      </x:c>
      <x:c r="Z3" s="96" t="str">
        <x:v>Deploy Attempts</x:v>
      </x:c>
      <x:c r="AA3" s="96" t="str">
        <x:v>Deployment Success</x:v>
      </x:c>
      <x:c r="AB3" s="96" t="str">
        <x:v>Rework Hours</x:v>
      </x:c>
      <x:c r="AC3" s="96" t="str">
        <x:v>Blocked Hours</x:v>
      </x:c>
      <x:c r="AD3" s="96" t="str">
        <x:v>PR URL</x:v>
      </x:c>
      <x:c r="AE3" s="96" t="str">
        <x:v>Notes</x:v>
      </x:c>
    </x:row>
    <x:row r="4">
      <x:c r="A4" s="104"/>
      <x:c r="B4" s="105"/>
      <x:c r="C4" s="106"/>
      <x:c r="D4" s="106"/>
      <x:c r="E4" s="106"/>
      <x:c r="F4" s="106"/>
      <x:c r="G4" s="106"/>
      <x:c r="H4" s="106"/>
      <x:c r="I4" s="106"/>
      <x:c r="J4" s="106"/>
      <x:c r="K4" s="106"/>
      <x:c r="L4" s="106"/>
      <x:c r="M4" s="107"/>
      <x:c r="N4" s="107"/>
      <x:c r="O4" s="107"/>
      <x:c r="P4" s="107"/>
      <x:c r="Q4" s="107"/>
      <x:c r="R4" s="107"/>
      <x:c r="S4" s="107"/>
      <x:c r="T4" s="108"/>
      <x:c r="U4" s="109" t="str">
        <x:f>IF(OR(N4="",S4=""),"",(S4-N4)*24)</x:f>
      </x:c>
      <x:c r="V4" s="110"/>
      <x:c r="W4" s="111"/>
      <x:c r="X4" s="112" t="str">
        <x:f>IF(OR(V4="",V4=0),"",W4/V4)</x:f>
      </x:c>
      <x:c r="Y4" s="113"/>
      <x:c r="Z4" s="113"/>
      <x:c r="AA4" s="113"/>
      <x:c r="AB4" s="113"/>
      <x:c r="AC4" s="113"/>
      <x:c r="AD4" s="106"/>
      <x:c r="AE4" s="114"/>
    </x:row>
    <x:row r="5">
      <x:c r="A5" s="115"/>
      <x:c r="B5" s="116"/>
      <x:c r="C5" s="117"/>
      <x:c r="D5" s="117"/>
      <x:c r="E5" s="117"/>
      <x:c r="F5" s="117"/>
      <x:c r="G5" s="117"/>
      <x:c r="H5" s="117"/>
      <x:c r="I5" s="117"/>
      <x:c r="J5" s="117"/>
      <x:c r="K5" s="117"/>
      <x:c r="L5" s="117"/>
      <x:c r="M5" s="118"/>
      <x:c r="N5" s="118"/>
      <x:c r="O5" s="118"/>
      <x:c r="P5" s="118"/>
      <x:c r="Q5" s="118"/>
      <x:c r="R5" s="118"/>
      <x:c r="S5" s="118"/>
      <x:c r="T5" s="119"/>
      <x:c r="U5" s="109" t="str">
        <x:f>IF(OR(N5="",S5=""),"",(S5-N5)*24)</x:f>
      </x:c>
      <x:c r="V5" s="120"/>
      <x:c r="W5" s="121"/>
      <x:c r="X5" s="122" t="str">
        <x:f>IF(OR(V5="",V5=0),"",W5/V5)</x:f>
      </x:c>
      <x:c r="Y5" s="123"/>
      <x:c r="Z5" s="123"/>
      <x:c r="AA5" s="123"/>
      <x:c r="AB5" s="123"/>
      <x:c r="AC5" s="123"/>
      <x:c r="AD5" s="117"/>
      <x:c r="AE5" s="124"/>
    </x:row>
    <x:row r="6">
      <x:c r="A6" s="115"/>
      <x:c r="B6" s="116"/>
      <x:c r="C6" s="117"/>
      <x:c r="D6" s="117"/>
      <x:c r="E6" s="117"/>
      <x:c r="F6" s="117"/>
      <x:c r="G6" s="117"/>
      <x:c r="H6" s="117"/>
      <x:c r="I6" s="117"/>
      <x:c r="J6" s="117"/>
      <x:c r="K6" s="117"/>
      <x:c r="L6" s="117"/>
      <x:c r="M6" s="118"/>
      <x:c r="N6" s="118"/>
      <x:c r="O6" s="118"/>
      <x:c r="P6" s="118"/>
      <x:c r="Q6" s="118"/>
      <x:c r="R6" s="118"/>
      <x:c r="S6" s="118"/>
      <x:c r="T6" s="119"/>
      <x:c r="U6" s="109" t="str">
        <x:f>IF(OR(N6="",S6=""),"",(S6-N6)*24)</x:f>
      </x:c>
      <x:c r="V6" s="120"/>
      <x:c r="W6" s="121"/>
      <x:c r="X6" s="122" t="str">
        <x:f>IF(OR(V6="",V6=0),"",W6/V6)</x:f>
      </x:c>
      <x:c r="Y6" s="123"/>
      <x:c r="Z6" s="123"/>
      <x:c r="AA6" s="123"/>
      <x:c r="AB6" s="123"/>
      <x:c r="AC6" s="123"/>
      <x:c r="AD6" s="117"/>
      <x:c r="AE6" s="124"/>
    </x:row>
    <x:row r="7">
      <x:c r="A7" s="115"/>
      <x:c r="B7" s="116"/>
      <x:c r="C7" s="117"/>
      <x:c r="D7" s="117"/>
      <x:c r="E7" s="117"/>
      <x:c r="F7" s="117"/>
      <x:c r="G7" s="117"/>
      <x:c r="H7" s="117"/>
      <x:c r="I7" s="117"/>
      <x:c r="J7" s="117"/>
      <x:c r="K7" s="117"/>
      <x:c r="L7" s="117"/>
      <x:c r="M7" s="118"/>
      <x:c r="N7" s="118"/>
      <x:c r="O7" s="118"/>
      <x:c r="P7" s="118"/>
      <x:c r="Q7" s="118"/>
      <x:c r="R7" s="118"/>
      <x:c r="S7" s="118"/>
      <x:c r="T7" s="119"/>
      <x:c r="U7" s="109" t="str">
        <x:f>IF(OR(N7="",S7=""),"",(S7-N7)*24)</x:f>
      </x:c>
      <x:c r="V7" s="120"/>
      <x:c r="W7" s="121"/>
      <x:c r="X7" s="122" t="str">
        <x:f>IF(OR(V7="",V7=0),"",W7/V7)</x:f>
      </x:c>
      <x:c r="Y7" s="123"/>
      <x:c r="Z7" s="123"/>
      <x:c r="AA7" s="123"/>
      <x:c r="AB7" s="123"/>
      <x:c r="AC7" s="123"/>
      <x:c r="AD7" s="117"/>
      <x:c r="AE7" s="124"/>
    </x:row>
    <x:row r="8">
      <x:c r="A8" s="115"/>
      <x:c r="B8" s="116"/>
      <x:c r="C8" s="117"/>
      <x:c r="D8" s="117"/>
      <x:c r="E8" s="117"/>
      <x:c r="F8" s="117"/>
      <x:c r="G8" s="117"/>
      <x:c r="H8" s="117"/>
      <x:c r="I8" s="117"/>
      <x:c r="J8" s="117"/>
      <x:c r="K8" s="117"/>
      <x:c r="L8" s="117"/>
      <x:c r="M8" s="118"/>
      <x:c r="N8" s="118"/>
      <x:c r="O8" s="118"/>
      <x:c r="P8" s="118"/>
      <x:c r="Q8" s="118"/>
      <x:c r="R8" s="118"/>
      <x:c r="S8" s="118"/>
      <x:c r="T8" s="119"/>
      <x:c r="U8" s="109" t="str">
        <x:f>IF(OR(N8="",S8=""),"",(S8-N8)*24)</x:f>
      </x:c>
      <x:c r="V8" s="120"/>
      <x:c r="W8" s="121"/>
      <x:c r="X8" s="122" t="str">
        <x:f>IF(OR(V8="",V8=0),"",W8/V8)</x:f>
      </x:c>
      <x:c r="Y8" s="123"/>
      <x:c r="Z8" s="123"/>
      <x:c r="AA8" s="123"/>
      <x:c r="AB8" s="123"/>
      <x:c r="AC8" s="123"/>
      <x:c r="AD8" s="117"/>
      <x:c r="AE8" s="124"/>
    </x:row>
    <x:row r="9">
      <x:c r="A9" s="115"/>
      <x:c r="B9" s="116"/>
      <x:c r="C9" s="117"/>
      <x:c r="D9" s="117"/>
      <x:c r="E9" s="117"/>
      <x:c r="F9" s="117"/>
      <x:c r="G9" s="117"/>
      <x:c r="H9" s="117"/>
      <x:c r="I9" s="117"/>
      <x:c r="J9" s="117"/>
      <x:c r="K9" s="117"/>
      <x:c r="L9" s="117"/>
      <x:c r="M9" s="118"/>
      <x:c r="N9" s="118"/>
      <x:c r="O9" s="118"/>
      <x:c r="P9" s="118"/>
      <x:c r="Q9" s="118"/>
      <x:c r="R9" s="118"/>
      <x:c r="S9" s="118"/>
      <x:c r="T9" s="119"/>
      <x:c r="U9" s="109" t="str">
        <x:f>IF(OR(N9="",S9=""),"",(S9-N9)*24)</x:f>
      </x:c>
      <x:c r="V9" s="120"/>
      <x:c r="W9" s="121"/>
      <x:c r="X9" s="122" t="str">
        <x:f>IF(OR(V9="",V9=0),"",W9/V9)</x:f>
      </x:c>
      <x:c r="Y9" s="123"/>
      <x:c r="Z9" s="123"/>
      <x:c r="AA9" s="123"/>
      <x:c r="AB9" s="123"/>
      <x:c r="AC9" s="123"/>
      <x:c r="AD9" s="117"/>
      <x:c r="AE9" s="124"/>
    </x:row>
    <x:row r="10">
      <x:c r="A10" s="115"/>
      <x:c r="B10" s="116"/>
      <x:c r="C10" s="117"/>
      <x:c r="D10" s="117"/>
      <x:c r="E10" s="117"/>
      <x:c r="F10" s="117"/>
      <x:c r="G10" s="117"/>
      <x:c r="H10" s="117"/>
      <x:c r="I10" s="117"/>
      <x:c r="J10" s="117"/>
      <x:c r="K10" s="117"/>
      <x:c r="L10" s="117"/>
      <x:c r="M10" s="118"/>
      <x:c r="N10" s="118"/>
      <x:c r="O10" s="118"/>
      <x:c r="P10" s="118"/>
      <x:c r="Q10" s="118"/>
      <x:c r="R10" s="118"/>
      <x:c r="S10" s="118"/>
      <x:c r="T10" s="119"/>
      <x:c r="U10" s="109" t="str">
        <x:f>IF(OR(N10="",S10=""),"",(S10-N10)*24)</x:f>
      </x:c>
      <x:c r="V10" s="120"/>
      <x:c r="W10" s="121"/>
      <x:c r="X10" s="122" t="str">
        <x:f>IF(OR(V10="",V10=0),"",W10/V10)</x:f>
      </x:c>
      <x:c r="Y10" s="123"/>
      <x:c r="Z10" s="123"/>
      <x:c r="AA10" s="123"/>
      <x:c r="AB10" s="123"/>
      <x:c r="AC10" s="123"/>
      <x:c r="AD10" s="117"/>
      <x:c r="AE10" s="124"/>
    </x:row>
    <x:row r="11">
      <x:c r="A11" s="115"/>
      <x:c r="B11" s="116"/>
      <x:c r="C11" s="117"/>
      <x:c r="D11" s="117"/>
      <x:c r="E11" s="117"/>
      <x:c r="F11" s="117"/>
      <x:c r="G11" s="117"/>
      <x:c r="H11" s="117"/>
      <x:c r="I11" s="117"/>
      <x:c r="J11" s="117"/>
      <x:c r="K11" s="117"/>
      <x:c r="L11" s="117"/>
      <x:c r="M11" s="118"/>
      <x:c r="N11" s="118"/>
      <x:c r="O11" s="118"/>
      <x:c r="P11" s="118"/>
      <x:c r="Q11" s="118"/>
      <x:c r="R11" s="118"/>
      <x:c r="S11" s="118"/>
      <x:c r="T11" s="119"/>
      <x:c r="U11" s="109" t="str">
        <x:f>IF(OR(N11="",S11=""),"",(S11-N11)*24)</x:f>
      </x:c>
      <x:c r="V11" s="120"/>
      <x:c r="W11" s="121"/>
      <x:c r="X11" s="122" t="str">
        <x:f>IF(OR(V11="",V11=0),"",W11/V11)</x:f>
      </x:c>
      <x:c r="Y11" s="123"/>
      <x:c r="Z11" s="123"/>
      <x:c r="AA11" s="123"/>
      <x:c r="AB11" s="123"/>
      <x:c r="AC11" s="123"/>
      <x:c r="AD11" s="117"/>
      <x:c r="AE11" s="124"/>
    </x:row>
    <x:row r="12">
      <x:c r="A12" s="115"/>
      <x:c r="B12" s="116"/>
      <x:c r="C12" s="117"/>
      <x:c r="D12" s="117"/>
      <x:c r="E12" s="117"/>
      <x:c r="F12" s="117"/>
      <x:c r="G12" s="117"/>
      <x:c r="H12" s="117"/>
      <x:c r="I12" s="117"/>
      <x:c r="J12" s="117"/>
      <x:c r="K12" s="117"/>
      <x:c r="L12" s="117"/>
      <x:c r="M12" s="118"/>
      <x:c r="N12" s="118"/>
      <x:c r="O12" s="118"/>
      <x:c r="P12" s="118"/>
      <x:c r="Q12" s="118"/>
      <x:c r="R12" s="118"/>
      <x:c r="S12" s="118"/>
      <x:c r="T12" s="119"/>
      <x:c r="U12" s="109" t="str">
        <x:f>IF(OR(N12="",S12=""),"",(S12-N12)*24)</x:f>
      </x:c>
      <x:c r="V12" s="120"/>
      <x:c r="W12" s="121"/>
      <x:c r="X12" s="122" t="str">
        <x:f>IF(OR(V12="",V12=0),"",W12/V12)</x:f>
      </x:c>
      <x:c r="Y12" s="123"/>
      <x:c r="Z12" s="123"/>
      <x:c r="AA12" s="123"/>
      <x:c r="AB12" s="123"/>
      <x:c r="AC12" s="123"/>
      <x:c r="AD12" s="117"/>
      <x:c r="AE12" s="124"/>
    </x:row>
    <x:row r="13">
      <x:c r="A13" s="115"/>
      <x:c r="B13" s="116"/>
      <x:c r="C13" s="117"/>
      <x:c r="D13" s="117"/>
      <x:c r="E13" s="117"/>
      <x:c r="F13" s="117"/>
      <x:c r="G13" s="117"/>
      <x:c r="H13" s="117"/>
      <x:c r="I13" s="117"/>
      <x:c r="J13" s="117"/>
      <x:c r="K13" s="117"/>
      <x:c r="L13" s="117"/>
      <x:c r="M13" s="118"/>
      <x:c r="N13" s="118"/>
      <x:c r="O13" s="118"/>
      <x:c r="P13" s="118"/>
      <x:c r="Q13" s="118"/>
      <x:c r="R13" s="118"/>
      <x:c r="S13" s="118"/>
      <x:c r="T13" s="119"/>
      <x:c r="U13" s="109" t="str">
        <x:f>IF(OR(N13="",S13=""),"",(S13-N13)*24)</x:f>
      </x:c>
      <x:c r="V13" s="120"/>
      <x:c r="W13" s="121"/>
      <x:c r="X13" s="122" t="str">
        <x:f>IF(OR(V13="",V13=0),"",W13/V13)</x:f>
      </x:c>
      <x:c r="Y13" s="123"/>
      <x:c r="Z13" s="123"/>
      <x:c r="AA13" s="123"/>
      <x:c r="AB13" s="123"/>
      <x:c r="AC13" s="123"/>
      <x:c r="AD13" s="117"/>
      <x:c r="AE13" s="124"/>
    </x:row>
    <x:row r="14">
      <x:c r="A14" s="115"/>
      <x:c r="B14" s="116"/>
      <x:c r="C14" s="117"/>
      <x:c r="D14" s="117"/>
      <x:c r="E14" s="117"/>
      <x:c r="F14" s="117"/>
      <x:c r="G14" s="117"/>
      <x:c r="H14" s="117"/>
      <x:c r="I14" s="117"/>
      <x:c r="J14" s="117"/>
      <x:c r="K14" s="117"/>
      <x:c r="L14" s="117"/>
      <x:c r="M14" s="118"/>
      <x:c r="N14" s="118"/>
      <x:c r="O14" s="118"/>
      <x:c r="P14" s="118"/>
      <x:c r="Q14" s="118"/>
      <x:c r="R14" s="118"/>
      <x:c r="S14" s="118"/>
      <x:c r="T14" s="119"/>
      <x:c r="U14" s="109" t="str">
        <x:f>IF(OR(N14="",S14=""),"",(S14-N14)*24)</x:f>
      </x:c>
      <x:c r="V14" s="120"/>
      <x:c r="W14" s="121"/>
      <x:c r="X14" s="122" t="str">
        <x:f>IF(OR(V14="",V14=0),"",W14/V14)</x:f>
      </x:c>
      <x:c r="Y14" s="123"/>
      <x:c r="Z14" s="123"/>
      <x:c r="AA14" s="123"/>
      <x:c r="AB14" s="123"/>
      <x:c r="AC14" s="123"/>
      <x:c r="AD14" s="117"/>
      <x:c r="AE14" s="124"/>
    </x:row>
    <x:row r="15">
      <x:c r="A15" s="115"/>
      <x:c r="B15" s="116"/>
      <x:c r="C15" s="117"/>
      <x:c r="D15" s="117"/>
      <x:c r="E15" s="117"/>
      <x:c r="F15" s="117"/>
      <x:c r="G15" s="117"/>
      <x:c r="H15" s="117"/>
      <x:c r="I15" s="117"/>
      <x:c r="J15" s="117"/>
      <x:c r="K15" s="117"/>
      <x:c r="L15" s="117"/>
      <x:c r="M15" s="118"/>
      <x:c r="N15" s="118"/>
      <x:c r="O15" s="118"/>
      <x:c r="P15" s="118"/>
      <x:c r="Q15" s="118"/>
      <x:c r="R15" s="118"/>
      <x:c r="S15" s="118"/>
      <x:c r="T15" s="119"/>
      <x:c r="U15" s="109" t="str">
        <x:f>IF(OR(N15="",S15=""),"",(S15-N15)*24)</x:f>
      </x:c>
      <x:c r="V15" s="120"/>
      <x:c r="W15" s="121"/>
      <x:c r="X15" s="122" t="str">
        <x:f>IF(OR(V15="",V15=0),"",W15/V15)</x:f>
      </x:c>
      <x:c r="Y15" s="123"/>
      <x:c r="Z15" s="123"/>
      <x:c r="AA15" s="123"/>
      <x:c r="AB15" s="123"/>
      <x:c r="AC15" s="123"/>
      <x:c r="AD15" s="117"/>
      <x:c r="AE15" s="124"/>
    </x:row>
    <x:row r="16">
      <x:c r="A16" s="115"/>
      <x:c r="B16" s="116"/>
      <x:c r="C16" s="117"/>
      <x:c r="D16" s="117"/>
      <x:c r="E16" s="117"/>
      <x:c r="F16" s="117"/>
      <x:c r="G16" s="117"/>
      <x:c r="H16" s="117"/>
      <x:c r="I16" s="117"/>
      <x:c r="J16" s="117"/>
      <x:c r="K16" s="117"/>
      <x:c r="L16" s="117"/>
      <x:c r="M16" s="118"/>
      <x:c r="N16" s="118"/>
      <x:c r="O16" s="118"/>
      <x:c r="P16" s="118"/>
      <x:c r="Q16" s="118"/>
      <x:c r="R16" s="118"/>
      <x:c r="S16" s="118"/>
      <x:c r="T16" s="119"/>
      <x:c r="U16" s="109" t="str">
        <x:f>IF(OR(N16="",S16=""),"",(S16-N16)*24)</x:f>
      </x:c>
      <x:c r="V16" s="120"/>
      <x:c r="W16" s="121"/>
      <x:c r="X16" s="122" t="str">
        <x:f>IF(OR(V16="",V16=0),"",W16/V16)</x:f>
      </x:c>
      <x:c r="Y16" s="123"/>
      <x:c r="Z16" s="123"/>
      <x:c r="AA16" s="123"/>
      <x:c r="AB16" s="123"/>
      <x:c r="AC16" s="123"/>
      <x:c r="AD16" s="117"/>
      <x:c r="AE16" s="124"/>
    </x:row>
    <x:row r="17">
      <x:c r="A17" s="115"/>
      <x:c r="B17" s="116"/>
      <x:c r="C17" s="117"/>
      <x:c r="D17" s="117"/>
      <x:c r="E17" s="117"/>
      <x:c r="F17" s="117"/>
      <x:c r="G17" s="117"/>
      <x:c r="H17" s="117"/>
      <x:c r="I17" s="117"/>
      <x:c r="J17" s="117"/>
      <x:c r="K17" s="117"/>
      <x:c r="L17" s="117"/>
      <x:c r="M17" s="118"/>
      <x:c r="N17" s="118"/>
      <x:c r="O17" s="118"/>
      <x:c r="P17" s="118"/>
      <x:c r="Q17" s="118"/>
      <x:c r="R17" s="118"/>
      <x:c r="S17" s="118"/>
      <x:c r="T17" s="119"/>
      <x:c r="U17" s="109" t="str">
        <x:f>IF(OR(N17="",S17=""),"",(S17-N17)*24)</x:f>
      </x:c>
      <x:c r="V17" s="120"/>
      <x:c r="W17" s="121"/>
      <x:c r="X17" s="122" t="str">
        <x:f>IF(OR(V17="",V17=0),"",W17/V17)</x:f>
      </x:c>
      <x:c r="Y17" s="123"/>
      <x:c r="Z17" s="123"/>
      <x:c r="AA17" s="123"/>
      <x:c r="AB17" s="123"/>
      <x:c r="AC17" s="123"/>
      <x:c r="AD17" s="117"/>
      <x:c r="AE17" s="124"/>
    </x:row>
    <x:row r="18">
      <x:c r="A18" s="115"/>
      <x:c r="B18" s="116"/>
      <x:c r="C18" s="117"/>
      <x:c r="D18" s="117"/>
      <x:c r="E18" s="117"/>
      <x:c r="F18" s="117"/>
      <x:c r="G18" s="117"/>
      <x:c r="H18" s="117"/>
      <x:c r="I18" s="117"/>
      <x:c r="J18" s="117"/>
      <x:c r="K18" s="117"/>
      <x:c r="L18" s="117"/>
      <x:c r="M18" s="118"/>
      <x:c r="N18" s="118"/>
      <x:c r="O18" s="118"/>
      <x:c r="P18" s="118"/>
      <x:c r="Q18" s="118"/>
      <x:c r="R18" s="118"/>
      <x:c r="S18" s="118"/>
      <x:c r="T18" s="119"/>
      <x:c r="U18" s="109" t="str">
        <x:f>IF(OR(N18="",S18=""),"",(S18-N18)*24)</x:f>
      </x:c>
      <x:c r="V18" s="120"/>
      <x:c r="W18" s="121"/>
      <x:c r="X18" s="122" t="str">
        <x:f>IF(OR(V18="",V18=0),"",W18/V18)</x:f>
      </x:c>
      <x:c r="Y18" s="123"/>
      <x:c r="Z18" s="123"/>
      <x:c r="AA18" s="123"/>
      <x:c r="AB18" s="123"/>
      <x:c r="AC18" s="123"/>
      <x:c r="AD18" s="117"/>
      <x:c r="AE18" s="124"/>
    </x:row>
    <x:row r="19">
      <x:c r="A19" s="115"/>
      <x:c r="B19" s="116"/>
      <x:c r="C19" s="117"/>
      <x:c r="D19" s="117"/>
      <x:c r="E19" s="117"/>
      <x:c r="F19" s="117"/>
      <x:c r="G19" s="117"/>
      <x:c r="H19" s="117"/>
      <x:c r="I19" s="117"/>
      <x:c r="J19" s="117"/>
      <x:c r="K19" s="117"/>
      <x:c r="L19" s="117"/>
      <x:c r="M19" s="118"/>
      <x:c r="N19" s="118"/>
      <x:c r="O19" s="118"/>
      <x:c r="P19" s="118"/>
      <x:c r="Q19" s="118"/>
      <x:c r="R19" s="118"/>
      <x:c r="S19" s="118"/>
      <x:c r="T19" s="119"/>
      <x:c r="U19" s="109" t="str">
        <x:f>IF(OR(N19="",S19=""),"",(S19-N19)*24)</x:f>
      </x:c>
      <x:c r="V19" s="120"/>
      <x:c r="W19" s="121"/>
      <x:c r="X19" s="122" t="str">
        <x:f>IF(OR(V19="",V19=0),"",W19/V19)</x:f>
      </x:c>
      <x:c r="Y19" s="123"/>
      <x:c r="Z19" s="123"/>
      <x:c r="AA19" s="123"/>
      <x:c r="AB19" s="123"/>
      <x:c r="AC19" s="123"/>
      <x:c r="AD19" s="117"/>
      <x:c r="AE19" s="124"/>
    </x:row>
    <x:row r="20">
      <x:c r="A20" s="115"/>
      <x:c r="B20" s="116"/>
      <x:c r="C20" s="117"/>
      <x:c r="D20" s="117"/>
      <x:c r="E20" s="117"/>
      <x:c r="F20" s="117"/>
      <x:c r="G20" s="117"/>
      <x:c r="H20" s="117"/>
      <x:c r="I20" s="117"/>
      <x:c r="J20" s="117"/>
      <x:c r="K20" s="117"/>
      <x:c r="L20" s="117"/>
      <x:c r="M20" s="118"/>
      <x:c r="N20" s="118"/>
      <x:c r="O20" s="118"/>
      <x:c r="P20" s="118"/>
      <x:c r="Q20" s="118"/>
      <x:c r="R20" s="118"/>
      <x:c r="S20" s="118"/>
      <x:c r="T20" s="119"/>
      <x:c r="U20" s="109" t="str">
        <x:f>IF(OR(N20="",S20=""),"",(S20-N20)*24)</x:f>
      </x:c>
      <x:c r="V20" s="120"/>
      <x:c r="W20" s="121"/>
      <x:c r="X20" s="122" t="str">
        <x:f>IF(OR(V20="",V20=0),"",W20/V20)</x:f>
      </x:c>
      <x:c r="Y20" s="123"/>
      <x:c r="Z20" s="123"/>
      <x:c r="AA20" s="123"/>
      <x:c r="AB20" s="123"/>
      <x:c r="AC20" s="123"/>
      <x:c r="AD20" s="117"/>
      <x:c r="AE20" s="124"/>
    </x:row>
    <x:row r="21">
      <x:c r="A21" s="115"/>
      <x:c r="B21" s="116"/>
      <x:c r="C21" s="117"/>
      <x:c r="D21" s="117"/>
      <x:c r="E21" s="117"/>
      <x:c r="F21" s="117"/>
      <x:c r="G21" s="117"/>
      <x:c r="H21" s="117"/>
      <x:c r="I21" s="117"/>
      <x:c r="J21" s="117"/>
      <x:c r="K21" s="117"/>
      <x:c r="L21" s="117"/>
      <x:c r="M21" s="118"/>
      <x:c r="N21" s="118"/>
      <x:c r="O21" s="118"/>
      <x:c r="P21" s="118"/>
      <x:c r="Q21" s="118"/>
      <x:c r="R21" s="118"/>
      <x:c r="S21" s="118"/>
      <x:c r="T21" s="119"/>
      <x:c r="U21" s="109" t="str">
        <x:f>IF(OR(N21="",S21=""),"",(S21-N21)*24)</x:f>
      </x:c>
      <x:c r="V21" s="120"/>
      <x:c r="W21" s="121"/>
      <x:c r="X21" s="122" t="str">
        <x:f>IF(OR(V21="",V21=0),"",W21/V21)</x:f>
      </x:c>
      <x:c r="Y21" s="123"/>
      <x:c r="Z21" s="123"/>
      <x:c r="AA21" s="123"/>
      <x:c r="AB21" s="123"/>
      <x:c r="AC21" s="123"/>
      <x:c r="AD21" s="117"/>
      <x:c r="AE21" s="124"/>
    </x:row>
    <x:row r="22">
      <x:c r="A22" s="115"/>
      <x:c r="B22" s="116"/>
      <x:c r="C22" s="117"/>
      <x:c r="D22" s="117"/>
      <x:c r="E22" s="117"/>
      <x:c r="F22" s="117"/>
      <x:c r="G22" s="117"/>
      <x:c r="H22" s="117"/>
      <x:c r="I22" s="117"/>
      <x:c r="J22" s="117"/>
      <x:c r="K22" s="117"/>
      <x:c r="L22" s="117"/>
      <x:c r="M22" s="118"/>
      <x:c r="N22" s="118"/>
      <x:c r="O22" s="118"/>
      <x:c r="P22" s="118"/>
      <x:c r="Q22" s="118"/>
      <x:c r="R22" s="118"/>
      <x:c r="S22" s="118"/>
      <x:c r="T22" s="119"/>
      <x:c r="U22" s="109" t="str">
        <x:f>IF(OR(N22="",S22=""),"",(S22-N22)*24)</x:f>
      </x:c>
      <x:c r="V22" s="120"/>
      <x:c r="W22" s="121"/>
      <x:c r="X22" s="122" t="str">
        <x:f>IF(OR(V22="",V22=0),"",W22/V22)</x:f>
      </x:c>
      <x:c r="Y22" s="123"/>
      <x:c r="Z22" s="123"/>
      <x:c r="AA22" s="123"/>
      <x:c r="AB22" s="123"/>
      <x:c r="AC22" s="123"/>
      <x:c r="AD22" s="117"/>
      <x:c r="AE22" s="124"/>
    </x:row>
    <x:row r="23">
      <x:c r="A23" s="115"/>
      <x:c r="B23" s="116"/>
      <x:c r="C23" s="117"/>
      <x:c r="D23" s="117"/>
      <x:c r="E23" s="117"/>
      <x:c r="F23" s="117"/>
      <x:c r="G23" s="117"/>
      <x:c r="H23" s="117"/>
      <x:c r="I23" s="117"/>
      <x:c r="J23" s="117"/>
      <x:c r="K23" s="117"/>
      <x:c r="L23" s="117"/>
      <x:c r="M23" s="118"/>
      <x:c r="N23" s="118"/>
      <x:c r="O23" s="118"/>
      <x:c r="P23" s="118"/>
      <x:c r="Q23" s="118"/>
      <x:c r="R23" s="118"/>
      <x:c r="S23" s="118"/>
      <x:c r="T23" s="119"/>
      <x:c r="U23" s="109" t="str">
        <x:f>IF(OR(N23="",S23=""),"",(S23-N23)*24)</x:f>
      </x:c>
      <x:c r="V23" s="120"/>
      <x:c r="W23" s="121"/>
      <x:c r="X23" s="122" t="str">
        <x:f>IF(OR(V23="",V23=0),"",W23/V23)</x:f>
      </x:c>
      <x:c r="Y23" s="123"/>
      <x:c r="Z23" s="123"/>
      <x:c r="AA23" s="123"/>
      <x:c r="AB23" s="123"/>
      <x:c r="AC23" s="123"/>
      <x:c r="AD23" s="117"/>
      <x:c r="AE23" s="124"/>
    </x:row>
    <x:row r="24">
      <x:c r="A24" s="115"/>
      <x:c r="B24" s="116"/>
      <x:c r="C24" s="117"/>
      <x:c r="D24" s="117"/>
      <x:c r="E24" s="117"/>
      <x:c r="F24" s="117"/>
      <x:c r="G24" s="117"/>
      <x:c r="H24" s="117"/>
      <x:c r="I24" s="117"/>
      <x:c r="J24" s="117"/>
      <x:c r="K24" s="117"/>
      <x:c r="L24" s="117"/>
      <x:c r="M24" s="118"/>
      <x:c r="N24" s="118"/>
      <x:c r="O24" s="118"/>
      <x:c r="P24" s="118"/>
      <x:c r="Q24" s="118"/>
      <x:c r="R24" s="118"/>
      <x:c r="S24" s="118"/>
      <x:c r="T24" s="119"/>
      <x:c r="U24" s="109" t="str">
        <x:f>IF(OR(N24="",S24=""),"",(S24-N24)*24)</x:f>
      </x:c>
      <x:c r="V24" s="120"/>
      <x:c r="W24" s="121"/>
      <x:c r="X24" s="122" t="str">
        <x:f>IF(OR(V24="",V24=0),"",W24/V24)</x:f>
      </x:c>
      <x:c r="Y24" s="123"/>
      <x:c r="Z24" s="123"/>
      <x:c r="AA24" s="123"/>
      <x:c r="AB24" s="123"/>
      <x:c r="AC24" s="123"/>
      <x:c r="AD24" s="117"/>
      <x:c r="AE24" s="124"/>
    </x:row>
    <x:row r="25">
      <x:c r="A25" s="115"/>
      <x:c r="B25" s="116"/>
      <x:c r="C25" s="117"/>
      <x:c r="D25" s="117"/>
      <x:c r="E25" s="117"/>
      <x:c r="F25" s="117"/>
      <x:c r="G25" s="117"/>
      <x:c r="H25" s="117"/>
      <x:c r="I25" s="117"/>
      <x:c r="J25" s="117"/>
      <x:c r="K25" s="117"/>
      <x:c r="L25" s="117"/>
      <x:c r="M25" s="118"/>
      <x:c r="N25" s="118"/>
      <x:c r="O25" s="118"/>
      <x:c r="P25" s="118"/>
      <x:c r="Q25" s="118"/>
      <x:c r="R25" s="118"/>
      <x:c r="S25" s="118"/>
      <x:c r="T25" s="119"/>
      <x:c r="U25" s="109" t="str">
        <x:f>IF(OR(N25="",S25=""),"",(S25-N25)*24)</x:f>
      </x:c>
      <x:c r="V25" s="120"/>
      <x:c r="W25" s="121"/>
      <x:c r="X25" s="122" t="str">
        <x:f>IF(OR(V25="",V25=0),"",W25/V25)</x:f>
      </x:c>
      <x:c r="Y25" s="123"/>
      <x:c r="Z25" s="123"/>
      <x:c r="AA25" s="123"/>
      <x:c r="AB25" s="123"/>
      <x:c r="AC25" s="123"/>
      <x:c r="AD25" s="117"/>
      <x:c r="AE25" s="124"/>
    </x:row>
    <x:row r="26">
      <x:c r="A26" s="115"/>
      <x:c r="B26" s="116"/>
      <x:c r="C26" s="117"/>
      <x:c r="D26" s="117"/>
      <x:c r="E26" s="117"/>
      <x:c r="F26" s="117"/>
      <x:c r="G26" s="117"/>
      <x:c r="H26" s="117"/>
      <x:c r="I26" s="117"/>
      <x:c r="J26" s="117"/>
      <x:c r="K26" s="117"/>
      <x:c r="L26" s="117"/>
      <x:c r="M26" s="118"/>
      <x:c r="N26" s="118"/>
      <x:c r="O26" s="118"/>
      <x:c r="P26" s="118"/>
      <x:c r="Q26" s="118"/>
      <x:c r="R26" s="118"/>
      <x:c r="S26" s="118"/>
      <x:c r="T26" s="119"/>
      <x:c r="U26" s="109" t="str">
        <x:f>IF(OR(N26="",S26=""),"",(S26-N26)*24)</x:f>
      </x:c>
      <x:c r="V26" s="120"/>
      <x:c r="W26" s="121"/>
      <x:c r="X26" s="122" t="str">
        <x:f>IF(OR(V26="",V26=0),"",W26/V26)</x:f>
      </x:c>
      <x:c r="Y26" s="123"/>
      <x:c r="Z26" s="123"/>
      <x:c r="AA26" s="123"/>
      <x:c r="AB26" s="123"/>
      <x:c r="AC26" s="123"/>
      <x:c r="AD26" s="117"/>
      <x:c r="AE26" s="124"/>
    </x:row>
    <x:row r="27">
      <x:c r="A27" s="115"/>
      <x:c r="B27" s="116"/>
      <x:c r="C27" s="117"/>
      <x:c r="D27" s="117"/>
      <x:c r="E27" s="117"/>
      <x:c r="F27" s="117"/>
      <x:c r="G27" s="117"/>
      <x:c r="H27" s="117"/>
      <x:c r="I27" s="117"/>
      <x:c r="J27" s="117"/>
      <x:c r="K27" s="117"/>
      <x:c r="L27" s="117"/>
      <x:c r="M27" s="118"/>
      <x:c r="N27" s="118"/>
      <x:c r="O27" s="118"/>
      <x:c r="P27" s="118"/>
      <x:c r="Q27" s="118"/>
      <x:c r="R27" s="118"/>
      <x:c r="S27" s="118"/>
      <x:c r="T27" s="119"/>
      <x:c r="U27" s="109" t="str">
        <x:f>IF(OR(N27="",S27=""),"",(S27-N27)*24)</x:f>
      </x:c>
      <x:c r="V27" s="120"/>
      <x:c r="W27" s="121"/>
      <x:c r="X27" s="122" t="str">
        <x:f>IF(OR(V27="",V27=0),"",W27/V27)</x:f>
      </x:c>
      <x:c r="Y27" s="123"/>
      <x:c r="Z27" s="123"/>
      <x:c r="AA27" s="123"/>
      <x:c r="AB27" s="123"/>
      <x:c r="AC27" s="123"/>
      <x:c r="AD27" s="117"/>
      <x:c r="AE27" s="124"/>
    </x:row>
    <x:row r="28">
      <x:c r="A28" s="115"/>
      <x:c r="B28" s="116"/>
      <x:c r="C28" s="117"/>
      <x:c r="D28" s="117"/>
      <x:c r="E28" s="117"/>
      <x:c r="F28" s="117"/>
      <x:c r="G28" s="117"/>
      <x:c r="H28" s="117"/>
      <x:c r="I28" s="117"/>
      <x:c r="J28" s="117"/>
      <x:c r="K28" s="117"/>
      <x:c r="L28" s="117"/>
      <x:c r="M28" s="118"/>
      <x:c r="N28" s="118"/>
      <x:c r="O28" s="118"/>
      <x:c r="P28" s="118"/>
      <x:c r="Q28" s="118"/>
      <x:c r="R28" s="118"/>
      <x:c r="S28" s="118"/>
      <x:c r="T28" s="119"/>
      <x:c r="U28" s="109" t="str">
        <x:f>IF(OR(N28="",S28=""),"",(S28-N28)*24)</x:f>
      </x:c>
      <x:c r="V28" s="120"/>
      <x:c r="W28" s="121"/>
      <x:c r="X28" s="122" t="str">
        <x:f>IF(OR(V28="",V28=0),"",W28/V28)</x:f>
      </x:c>
      <x:c r="Y28" s="123"/>
      <x:c r="Z28" s="123"/>
      <x:c r="AA28" s="123"/>
      <x:c r="AB28" s="123"/>
      <x:c r="AC28" s="123"/>
      <x:c r="AD28" s="117"/>
      <x:c r="AE28" s="124"/>
    </x:row>
    <x:row r="29">
      <x:c r="A29" s="115"/>
      <x:c r="B29" s="116"/>
      <x:c r="C29" s="117"/>
      <x:c r="D29" s="117"/>
      <x:c r="E29" s="117"/>
      <x:c r="F29" s="117"/>
      <x:c r="G29" s="117"/>
      <x:c r="H29" s="117"/>
      <x:c r="I29" s="117"/>
      <x:c r="J29" s="117"/>
      <x:c r="K29" s="117"/>
      <x:c r="L29" s="117"/>
      <x:c r="M29" s="118"/>
      <x:c r="N29" s="118"/>
      <x:c r="O29" s="118"/>
      <x:c r="P29" s="118"/>
      <x:c r="Q29" s="118"/>
      <x:c r="R29" s="118"/>
      <x:c r="S29" s="118"/>
      <x:c r="T29" s="119"/>
      <x:c r="U29" s="109" t="str">
        <x:f>IF(OR(N29="",S29=""),"",(S29-N29)*24)</x:f>
      </x:c>
      <x:c r="V29" s="120"/>
      <x:c r="W29" s="121"/>
      <x:c r="X29" s="122" t="str">
        <x:f>IF(OR(V29="",V29=0),"",W29/V29)</x:f>
      </x:c>
      <x:c r="Y29" s="123"/>
      <x:c r="Z29" s="123"/>
      <x:c r="AA29" s="123"/>
      <x:c r="AB29" s="123"/>
      <x:c r="AC29" s="123"/>
      <x:c r="AD29" s="117"/>
      <x:c r="AE29" s="124"/>
    </x:row>
    <x:row r="30">
      <x:c r="A30" s="115"/>
      <x:c r="B30" s="116"/>
      <x:c r="C30" s="117"/>
      <x:c r="D30" s="117"/>
      <x:c r="E30" s="117"/>
      <x:c r="F30" s="117"/>
      <x:c r="G30" s="117"/>
      <x:c r="H30" s="117"/>
      <x:c r="I30" s="117"/>
      <x:c r="J30" s="117"/>
      <x:c r="K30" s="117"/>
      <x:c r="L30" s="117"/>
      <x:c r="M30" s="118"/>
      <x:c r="N30" s="118"/>
      <x:c r="O30" s="118"/>
      <x:c r="P30" s="118"/>
      <x:c r="Q30" s="118"/>
      <x:c r="R30" s="118"/>
      <x:c r="S30" s="118"/>
      <x:c r="T30" s="119"/>
      <x:c r="U30" s="109" t="str">
        <x:f>IF(OR(N30="",S30=""),"",(S30-N30)*24)</x:f>
      </x:c>
      <x:c r="V30" s="120"/>
      <x:c r="W30" s="121"/>
      <x:c r="X30" s="122" t="str">
        <x:f>IF(OR(V30="",V30=0),"",W30/V30)</x:f>
      </x:c>
      <x:c r="Y30" s="123"/>
      <x:c r="Z30" s="123"/>
      <x:c r="AA30" s="123"/>
      <x:c r="AB30" s="123"/>
      <x:c r="AC30" s="123"/>
      <x:c r="AD30" s="117"/>
      <x:c r="AE30" s="124"/>
    </x:row>
    <x:row r="31">
      <x:c r="A31" s="115"/>
      <x:c r="B31" s="116"/>
      <x:c r="C31" s="117"/>
      <x:c r="D31" s="117"/>
      <x:c r="E31" s="117"/>
      <x:c r="F31" s="117"/>
      <x:c r="G31" s="117"/>
      <x:c r="H31" s="117"/>
      <x:c r="I31" s="117"/>
      <x:c r="J31" s="117"/>
      <x:c r="K31" s="117"/>
      <x:c r="L31" s="117"/>
      <x:c r="M31" s="118"/>
      <x:c r="N31" s="118"/>
      <x:c r="O31" s="118"/>
      <x:c r="P31" s="118"/>
      <x:c r="Q31" s="118"/>
      <x:c r="R31" s="118"/>
      <x:c r="S31" s="118"/>
      <x:c r="T31" s="119"/>
      <x:c r="U31" s="109" t="str">
        <x:f>IF(OR(N31="",S31=""),"",(S31-N31)*24)</x:f>
      </x:c>
      <x:c r="V31" s="120"/>
      <x:c r="W31" s="121"/>
      <x:c r="X31" s="122" t="str">
        <x:f>IF(OR(V31="",V31=0),"",W31/V31)</x:f>
      </x:c>
      <x:c r="Y31" s="123"/>
      <x:c r="Z31" s="123"/>
      <x:c r="AA31" s="123"/>
      <x:c r="AB31" s="123"/>
      <x:c r="AC31" s="123"/>
      <x:c r="AD31" s="117"/>
      <x:c r="AE31" s="124"/>
    </x:row>
    <x:row r="32">
      <x:c r="A32" s="115"/>
      <x:c r="B32" s="116"/>
      <x:c r="C32" s="117"/>
      <x:c r="D32" s="117"/>
      <x:c r="E32" s="117"/>
      <x:c r="F32" s="117"/>
      <x:c r="G32" s="117"/>
      <x:c r="H32" s="117"/>
      <x:c r="I32" s="117"/>
      <x:c r="J32" s="117"/>
      <x:c r="K32" s="117"/>
      <x:c r="L32" s="117"/>
      <x:c r="M32" s="118"/>
      <x:c r="N32" s="118"/>
      <x:c r="O32" s="118"/>
      <x:c r="P32" s="118"/>
      <x:c r="Q32" s="118"/>
      <x:c r="R32" s="118"/>
      <x:c r="S32" s="118"/>
      <x:c r="T32" s="119"/>
      <x:c r="U32" s="109" t="str">
        <x:f>IF(OR(N32="",S32=""),"",(S32-N32)*24)</x:f>
      </x:c>
      <x:c r="V32" s="120"/>
      <x:c r="W32" s="121"/>
      <x:c r="X32" s="122" t="str">
        <x:f>IF(OR(V32="",V32=0),"",W32/V32)</x:f>
      </x:c>
      <x:c r="Y32" s="123"/>
      <x:c r="Z32" s="123"/>
      <x:c r="AA32" s="123"/>
      <x:c r="AB32" s="123"/>
      <x:c r="AC32" s="123"/>
      <x:c r="AD32" s="117"/>
      <x:c r="AE32" s="124"/>
    </x:row>
    <x:row r="33">
      <x:c r="A33" s="115"/>
      <x:c r="B33" s="116"/>
      <x:c r="C33" s="117"/>
      <x:c r="D33" s="117"/>
      <x:c r="E33" s="117"/>
      <x:c r="F33" s="117"/>
      <x:c r="G33" s="117"/>
      <x:c r="H33" s="117"/>
      <x:c r="I33" s="117"/>
      <x:c r="J33" s="117"/>
      <x:c r="K33" s="117"/>
      <x:c r="L33" s="117"/>
      <x:c r="M33" s="118"/>
      <x:c r="N33" s="118"/>
      <x:c r="O33" s="118"/>
      <x:c r="P33" s="118"/>
      <x:c r="Q33" s="118"/>
      <x:c r="R33" s="118"/>
      <x:c r="S33" s="118"/>
      <x:c r="T33" s="119"/>
      <x:c r="U33" s="109" t="str">
        <x:f>IF(OR(N33="",S33=""),"",(S33-N33)*24)</x:f>
      </x:c>
      <x:c r="V33" s="120"/>
      <x:c r="W33" s="121"/>
      <x:c r="X33" s="122" t="str">
        <x:f>IF(OR(V33="",V33=0),"",W33/V33)</x:f>
      </x:c>
      <x:c r="Y33" s="123"/>
      <x:c r="Z33" s="123"/>
      <x:c r="AA33" s="123"/>
      <x:c r="AB33" s="123"/>
      <x:c r="AC33" s="123"/>
      <x:c r="AD33" s="117"/>
      <x:c r="AE33" s="124"/>
    </x:row>
    <x:row r="34">
      <x:c r="A34" s="115"/>
      <x:c r="B34" s="116"/>
      <x:c r="C34" s="117"/>
      <x:c r="D34" s="117"/>
      <x:c r="E34" s="117"/>
      <x:c r="F34" s="117"/>
      <x:c r="G34" s="117"/>
      <x:c r="H34" s="117"/>
      <x:c r="I34" s="117"/>
      <x:c r="J34" s="117"/>
      <x:c r="K34" s="117"/>
      <x:c r="L34" s="117"/>
      <x:c r="M34" s="118"/>
      <x:c r="N34" s="118"/>
      <x:c r="O34" s="118"/>
      <x:c r="P34" s="118"/>
      <x:c r="Q34" s="118"/>
      <x:c r="R34" s="118"/>
      <x:c r="S34" s="118"/>
      <x:c r="T34" s="119"/>
      <x:c r="U34" s="109" t="str">
        <x:f>IF(OR(N34="",S34=""),"",(S34-N34)*24)</x:f>
      </x:c>
      <x:c r="V34" s="120"/>
      <x:c r="W34" s="121"/>
      <x:c r="X34" s="122" t="str">
        <x:f>IF(OR(V34="",V34=0),"",W34/V34)</x:f>
      </x:c>
      <x:c r="Y34" s="123"/>
      <x:c r="Z34" s="123"/>
      <x:c r="AA34" s="123"/>
      <x:c r="AB34" s="123"/>
      <x:c r="AC34" s="123"/>
      <x:c r="AD34" s="117"/>
      <x:c r="AE34" s="124"/>
    </x:row>
    <x:row r="35">
      <x:c r="A35" s="115"/>
      <x:c r="B35" s="116"/>
      <x:c r="C35" s="117"/>
      <x:c r="D35" s="117"/>
      <x:c r="E35" s="117"/>
      <x:c r="F35" s="117"/>
      <x:c r="G35" s="117"/>
      <x:c r="H35" s="117"/>
      <x:c r="I35" s="117"/>
      <x:c r="J35" s="117"/>
      <x:c r="K35" s="117"/>
      <x:c r="L35" s="117"/>
      <x:c r="M35" s="118"/>
      <x:c r="N35" s="118"/>
      <x:c r="O35" s="118"/>
      <x:c r="P35" s="118"/>
      <x:c r="Q35" s="118"/>
      <x:c r="R35" s="118"/>
      <x:c r="S35" s="118"/>
      <x:c r="T35" s="119"/>
      <x:c r="U35" s="109" t="str">
        <x:f>IF(OR(N35="",S35=""),"",(S35-N35)*24)</x:f>
      </x:c>
      <x:c r="V35" s="120"/>
      <x:c r="W35" s="121"/>
      <x:c r="X35" s="122" t="str">
        <x:f>IF(OR(V35="",V35=0),"",W35/V35)</x:f>
      </x:c>
      <x:c r="Y35" s="123"/>
      <x:c r="Z35" s="123"/>
      <x:c r="AA35" s="123"/>
      <x:c r="AB35" s="123"/>
      <x:c r="AC35" s="123"/>
      <x:c r="AD35" s="117"/>
      <x:c r="AE35" s="124"/>
    </x:row>
    <x:row r="36">
      <x:c r="A36" s="115"/>
      <x:c r="B36" s="116"/>
      <x:c r="C36" s="117"/>
      <x:c r="D36" s="117"/>
      <x:c r="E36" s="117"/>
      <x:c r="F36" s="117"/>
      <x:c r="G36" s="117"/>
      <x:c r="H36" s="117"/>
      <x:c r="I36" s="117"/>
      <x:c r="J36" s="117"/>
      <x:c r="K36" s="117"/>
      <x:c r="L36" s="117"/>
      <x:c r="M36" s="118"/>
      <x:c r="N36" s="118"/>
      <x:c r="O36" s="118"/>
      <x:c r="P36" s="118"/>
      <x:c r="Q36" s="118"/>
      <x:c r="R36" s="118"/>
      <x:c r="S36" s="118"/>
      <x:c r="T36" s="119"/>
      <x:c r="U36" s="109" t="str">
        <x:f>IF(OR(N36="",S36=""),"",(S36-N36)*24)</x:f>
      </x:c>
      <x:c r="V36" s="120"/>
      <x:c r="W36" s="121"/>
      <x:c r="X36" s="122" t="str">
        <x:f>IF(OR(V36="",V36=0),"",W36/V36)</x:f>
      </x:c>
      <x:c r="Y36" s="123"/>
      <x:c r="Z36" s="123"/>
      <x:c r="AA36" s="123"/>
      <x:c r="AB36" s="123"/>
      <x:c r="AC36" s="123"/>
      <x:c r="AD36" s="117"/>
      <x:c r="AE36" s="124"/>
    </x:row>
    <x:row r="37">
      <x:c r="A37" s="115"/>
      <x:c r="B37" s="116"/>
      <x:c r="C37" s="117"/>
      <x:c r="D37" s="117"/>
      <x:c r="E37" s="117"/>
      <x:c r="F37" s="117"/>
      <x:c r="G37" s="117"/>
      <x:c r="H37" s="117"/>
      <x:c r="I37" s="117"/>
      <x:c r="J37" s="117"/>
      <x:c r="K37" s="117"/>
      <x:c r="L37" s="117"/>
      <x:c r="M37" s="118"/>
      <x:c r="N37" s="118"/>
      <x:c r="O37" s="118"/>
      <x:c r="P37" s="118"/>
      <x:c r="Q37" s="118"/>
      <x:c r="R37" s="118"/>
      <x:c r="S37" s="118"/>
      <x:c r="T37" s="119"/>
      <x:c r="U37" s="109" t="str">
        <x:f>IF(OR(N37="",S37=""),"",(S37-N37)*24)</x:f>
      </x:c>
      <x:c r="V37" s="120"/>
      <x:c r="W37" s="121"/>
      <x:c r="X37" s="122" t="str">
        <x:f>IF(OR(V37="",V37=0),"",W37/V37)</x:f>
      </x:c>
      <x:c r="Y37" s="123"/>
      <x:c r="Z37" s="123"/>
      <x:c r="AA37" s="123"/>
      <x:c r="AB37" s="123"/>
      <x:c r="AC37" s="123"/>
      <x:c r="AD37" s="117"/>
      <x:c r="AE37" s="124"/>
    </x:row>
    <x:row r="38">
      <x:c r="A38" s="115"/>
      <x:c r="B38" s="116"/>
      <x:c r="C38" s="117"/>
      <x:c r="D38" s="117"/>
      <x:c r="E38" s="117"/>
      <x:c r="F38" s="117"/>
      <x:c r="G38" s="117"/>
      <x:c r="H38" s="117"/>
      <x:c r="I38" s="117"/>
      <x:c r="J38" s="117"/>
      <x:c r="K38" s="117"/>
      <x:c r="L38" s="117"/>
      <x:c r="M38" s="118"/>
      <x:c r="N38" s="118"/>
      <x:c r="O38" s="118"/>
      <x:c r="P38" s="118"/>
      <x:c r="Q38" s="118"/>
      <x:c r="R38" s="118"/>
      <x:c r="S38" s="118"/>
      <x:c r="T38" s="119"/>
      <x:c r="U38" s="109" t="str">
        <x:f>IF(OR(N38="",S38=""),"",(S38-N38)*24)</x:f>
      </x:c>
      <x:c r="V38" s="120"/>
      <x:c r="W38" s="121"/>
      <x:c r="X38" s="122" t="str">
        <x:f>IF(OR(V38="",V38=0),"",W38/V38)</x:f>
      </x:c>
      <x:c r="Y38" s="123"/>
      <x:c r="Z38" s="123"/>
      <x:c r="AA38" s="123"/>
      <x:c r="AB38" s="123"/>
      <x:c r="AC38" s="123"/>
      <x:c r="AD38" s="117"/>
      <x:c r="AE38" s="124"/>
    </x:row>
    <x:row r="39">
      <x:c r="A39" s="115"/>
      <x:c r="B39" s="116"/>
      <x:c r="C39" s="117"/>
      <x:c r="D39" s="117"/>
      <x:c r="E39" s="117"/>
      <x:c r="F39" s="117"/>
      <x:c r="G39" s="117"/>
      <x:c r="H39" s="117"/>
      <x:c r="I39" s="117"/>
      <x:c r="J39" s="117"/>
      <x:c r="K39" s="117"/>
      <x:c r="L39" s="117"/>
      <x:c r="M39" s="118"/>
      <x:c r="N39" s="118"/>
      <x:c r="O39" s="118"/>
      <x:c r="P39" s="118"/>
      <x:c r="Q39" s="118"/>
      <x:c r="R39" s="118"/>
      <x:c r="S39" s="118"/>
      <x:c r="T39" s="119"/>
      <x:c r="U39" s="109" t="str">
        <x:f>IF(OR(N39="",S39=""),"",(S39-N39)*24)</x:f>
      </x:c>
      <x:c r="V39" s="120"/>
      <x:c r="W39" s="121"/>
      <x:c r="X39" s="122" t="str">
        <x:f>IF(OR(V39="",V39=0),"",W39/V39)</x:f>
      </x:c>
      <x:c r="Y39" s="123"/>
      <x:c r="Z39" s="123"/>
      <x:c r="AA39" s="123"/>
      <x:c r="AB39" s="123"/>
      <x:c r="AC39" s="123"/>
      <x:c r="AD39" s="117"/>
      <x:c r="AE39" s="124"/>
    </x:row>
    <x:row r="40">
      <x:c r="A40" s="115"/>
      <x:c r="B40" s="116"/>
      <x:c r="C40" s="117"/>
      <x:c r="D40" s="117"/>
      <x:c r="E40" s="117"/>
      <x:c r="F40" s="117"/>
      <x:c r="G40" s="117"/>
      <x:c r="H40" s="117"/>
      <x:c r="I40" s="117"/>
      <x:c r="J40" s="117"/>
      <x:c r="K40" s="117"/>
      <x:c r="L40" s="117"/>
      <x:c r="M40" s="118"/>
      <x:c r="N40" s="118"/>
      <x:c r="O40" s="118"/>
      <x:c r="P40" s="118"/>
      <x:c r="Q40" s="118"/>
      <x:c r="R40" s="118"/>
      <x:c r="S40" s="118"/>
      <x:c r="T40" s="119"/>
      <x:c r="U40" s="109" t="str">
        <x:f>IF(OR(N40="",S40=""),"",(S40-N40)*24)</x:f>
      </x:c>
      <x:c r="V40" s="120"/>
      <x:c r="W40" s="121"/>
      <x:c r="X40" s="122" t="str">
        <x:f>IF(OR(V40="",V40=0),"",W40/V40)</x:f>
      </x:c>
      <x:c r="Y40" s="123"/>
      <x:c r="Z40" s="123"/>
      <x:c r="AA40" s="123"/>
      <x:c r="AB40" s="123"/>
      <x:c r="AC40" s="123"/>
      <x:c r="AD40" s="117"/>
      <x:c r="AE40" s="124"/>
    </x:row>
    <x:row r="41">
      <x:c r="A41" s="115"/>
      <x:c r="B41" s="116"/>
      <x:c r="C41" s="117"/>
      <x:c r="D41" s="117"/>
      <x:c r="E41" s="117"/>
      <x:c r="F41" s="117"/>
      <x:c r="G41" s="117"/>
      <x:c r="H41" s="117"/>
      <x:c r="I41" s="117"/>
      <x:c r="J41" s="117"/>
      <x:c r="K41" s="117"/>
      <x:c r="L41" s="117"/>
      <x:c r="M41" s="118"/>
      <x:c r="N41" s="118"/>
      <x:c r="O41" s="118"/>
      <x:c r="P41" s="118"/>
      <x:c r="Q41" s="118"/>
      <x:c r="R41" s="118"/>
      <x:c r="S41" s="118"/>
      <x:c r="T41" s="119"/>
      <x:c r="U41" s="109" t="str">
        <x:f>IF(OR(N41="",S41=""),"",(S41-N41)*24)</x:f>
      </x:c>
      <x:c r="V41" s="120"/>
      <x:c r="W41" s="121"/>
      <x:c r="X41" s="122" t="str">
        <x:f>IF(OR(V41="",V41=0),"",W41/V41)</x:f>
      </x:c>
      <x:c r="Y41" s="123"/>
      <x:c r="Z41" s="123"/>
      <x:c r="AA41" s="123"/>
      <x:c r="AB41" s="123"/>
      <x:c r="AC41" s="123"/>
      <x:c r="AD41" s="117"/>
      <x:c r="AE41" s="124"/>
    </x:row>
    <x:row r="42">
      <x:c r="A42" s="115"/>
      <x:c r="B42" s="116"/>
      <x:c r="C42" s="117"/>
      <x:c r="D42" s="117"/>
      <x:c r="E42" s="117"/>
      <x:c r="F42" s="117"/>
      <x:c r="G42" s="117"/>
      <x:c r="H42" s="117"/>
      <x:c r="I42" s="117"/>
      <x:c r="J42" s="117"/>
      <x:c r="K42" s="117"/>
      <x:c r="L42" s="117"/>
      <x:c r="M42" s="118"/>
      <x:c r="N42" s="118"/>
      <x:c r="O42" s="118"/>
      <x:c r="P42" s="118"/>
      <x:c r="Q42" s="118"/>
      <x:c r="R42" s="118"/>
      <x:c r="S42" s="118"/>
      <x:c r="T42" s="119"/>
      <x:c r="U42" s="109" t="str">
        <x:f>IF(OR(N42="",S42=""),"",(S42-N42)*24)</x:f>
      </x:c>
      <x:c r="V42" s="120"/>
      <x:c r="W42" s="121"/>
      <x:c r="X42" s="122" t="str">
        <x:f>IF(OR(V42="",V42=0),"",W42/V42)</x:f>
      </x:c>
      <x:c r="Y42" s="123"/>
      <x:c r="Z42" s="123"/>
      <x:c r="AA42" s="123"/>
      <x:c r="AB42" s="123"/>
      <x:c r="AC42" s="123"/>
      <x:c r="AD42" s="117"/>
      <x:c r="AE42" s="124"/>
    </x:row>
    <x:row r="43">
      <x:c r="A43" s="115"/>
      <x:c r="B43" s="116"/>
      <x:c r="C43" s="117"/>
      <x:c r="D43" s="117"/>
      <x:c r="E43" s="117"/>
      <x:c r="F43" s="117"/>
      <x:c r="G43" s="117"/>
      <x:c r="H43" s="117"/>
      <x:c r="I43" s="117"/>
      <x:c r="J43" s="117"/>
      <x:c r="K43" s="117"/>
      <x:c r="L43" s="117"/>
      <x:c r="M43" s="118"/>
      <x:c r="N43" s="118"/>
      <x:c r="O43" s="118"/>
      <x:c r="P43" s="118"/>
      <x:c r="Q43" s="118"/>
      <x:c r="R43" s="118"/>
      <x:c r="S43" s="118"/>
      <x:c r="T43" s="119"/>
      <x:c r="U43" s="109" t="str">
        <x:f>IF(OR(N43="",S43=""),"",(S43-N43)*24)</x:f>
      </x:c>
      <x:c r="V43" s="120"/>
      <x:c r="W43" s="121"/>
      <x:c r="X43" s="122" t="str">
        <x:f>IF(OR(V43="",V43=0),"",W43/V43)</x:f>
      </x:c>
      <x:c r="Y43" s="123"/>
      <x:c r="Z43" s="123"/>
      <x:c r="AA43" s="123"/>
      <x:c r="AB43" s="123"/>
      <x:c r="AC43" s="123"/>
      <x:c r="AD43" s="117"/>
      <x:c r="AE43" s="124"/>
    </x:row>
    <x:row r="44">
      <x:c r="A44" s="115"/>
      <x:c r="B44" s="116"/>
      <x:c r="C44" s="117"/>
      <x:c r="D44" s="117"/>
      <x:c r="E44" s="117"/>
      <x:c r="F44" s="117"/>
      <x:c r="G44" s="117"/>
      <x:c r="H44" s="117"/>
      <x:c r="I44" s="117"/>
      <x:c r="J44" s="117"/>
      <x:c r="K44" s="117"/>
      <x:c r="L44" s="117"/>
      <x:c r="M44" s="118"/>
      <x:c r="N44" s="118"/>
      <x:c r="O44" s="118"/>
      <x:c r="P44" s="118"/>
      <x:c r="Q44" s="118"/>
      <x:c r="R44" s="118"/>
      <x:c r="S44" s="118"/>
      <x:c r="T44" s="119"/>
      <x:c r="U44" s="109" t="str">
        <x:f>IF(OR(N44="",S44=""),"",(S44-N44)*24)</x:f>
      </x:c>
      <x:c r="V44" s="120"/>
      <x:c r="W44" s="121"/>
      <x:c r="X44" s="122" t="str">
        <x:f>IF(OR(V44="",V44=0),"",W44/V44)</x:f>
      </x:c>
      <x:c r="Y44" s="123"/>
      <x:c r="Z44" s="123"/>
      <x:c r="AA44" s="123"/>
      <x:c r="AB44" s="123"/>
      <x:c r="AC44" s="123"/>
      <x:c r="AD44" s="117"/>
      <x:c r="AE44" s="124"/>
    </x:row>
    <x:row r="45">
      <x:c r="A45" s="115"/>
      <x:c r="B45" s="116"/>
      <x:c r="C45" s="117"/>
      <x:c r="D45" s="117"/>
      <x:c r="E45" s="117"/>
      <x:c r="F45" s="117"/>
      <x:c r="G45" s="117"/>
      <x:c r="H45" s="117"/>
      <x:c r="I45" s="117"/>
      <x:c r="J45" s="117"/>
      <x:c r="K45" s="117"/>
      <x:c r="L45" s="117"/>
      <x:c r="M45" s="118"/>
      <x:c r="N45" s="118"/>
      <x:c r="O45" s="118"/>
      <x:c r="P45" s="118"/>
      <x:c r="Q45" s="118"/>
      <x:c r="R45" s="118"/>
      <x:c r="S45" s="118"/>
      <x:c r="T45" s="119"/>
      <x:c r="U45" s="109" t="str">
        <x:f>IF(OR(N45="",S45=""),"",(S45-N45)*24)</x:f>
      </x:c>
      <x:c r="V45" s="120"/>
      <x:c r="W45" s="121"/>
      <x:c r="X45" s="122" t="str">
        <x:f>IF(OR(V45="",V45=0),"",W45/V45)</x:f>
      </x:c>
      <x:c r="Y45" s="123"/>
      <x:c r="Z45" s="123"/>
      <x:c r="AA45" s="123"/>
      <x:c r="AB45" s="123"/>
      <x:c r="AC45" s="123"/>
      <x:c r="AD45" s="117"/>
      <x:c r="AE45" s="124"/>
    </x:row>
    <x:row r="46">
      <x:c r="A46" s="115"/>
      <x:c r="B46" s="116"/>
      <x:c r="C46" s="117"/>
      <x:c r="D46" s="117"/>
      <x:c r="E46" s="117"/>
      <x:c r="F46" s="117"/>
      <x:c r="G46" s="117"/>
      <x:c r="H46" s="117"/>
      <x:c r="I46" s="117"/>
      <x:c r="J46" s="117"/>
      <x:c r="K46" s="117"/>
      <x:c r="L46" s="117"/>
      <x:c r="M46" s="118"/>
      <x:c r="N46" s="118"/>
      <x:c r="O46" s="118"/>
      <x:c r="P46" s="118"/>
      <x:c r="Q46" s="118"/>
      <x:c r="R46" s="118"/>
      <x:c r="S46" s="118"/>
      <x:c r="T46" s="119"/>
      <x:c r="U46" s="109" t="str">
        <x:f>IF(OR(N46="",S46=""),"",(S46-N46)*24)</x:f>
      </x:c>
      <x:c r="V46" s="120"/>
      <x:c r="W46" s="121"/>
      <x:c r="X46" s="122" t="str">
        <x:f>IF(OR(V46="",V46=0),"",W46/V46)</x:f>
      </x:c>
      <x:c r="Y46" s="123"/>
      <x:c r="Z46" s="123"/>
      <x:c r="AA46" s="123"/>
      <x:c r="AB46" s="123"/>
      <x:c r="AC46" s="123"/>
      <x:c r="AD46" s="117"/>
      <x:c r="AE46" s="124"/>
    </x:row>
    <x:row r="47">
      <x:c r="A47" s="115"/>
      <x:c r="B47" s="116"/>
      <x:c r="C47" s="117"/>
      <x:c r="D47" s="117"/>
      <x:c r="E47" s="117"/>
      <x:c r="F47" s="117"/>
      <x:c r="G47" s="117"/>
      <x:c r="H47" s="117"/>
      <x:c r="I47" s="117"/>
      <x:c r="J47" s="117"/>
      <x:c r="K47" s="117"/>
      <x:c r="L47" s="117"/>
      <x:c r="M47" s="118"/>
      <x:c r="N47" s="118"/>
      <x:c r="O47" s="118"/>
      <x:c r="P47" s="118"/>
      <x:c r="Q47" s="118"/>
      <x:c r="R47" s="118"/>
      <x:c r="S47" s="118"/>
      <x:c r="T47" s="119"/>
      <x:c r="U47" s="109" t="str">
        <x:f>IF(OR(N47="",S47=""),"",(S47-N47)*24)</x:f>
      </x:c>
      <x:c r="V47" s="120"/>
      <x:c r="W47" s="121"/>
      <x:c r="X47" s="122" t="str">
        <x:f>IF(OR(V47="",V47=0),"",W47/V47)</x:f>
      </x:c>
      <x:c r="Y47" s="123"/>
      <x:c r="Z47" s="123"/>
      <x:c r="AA47" s="123"/>
      <x:c r="AB47" s="123"/>
      <x:c r="AC47" s="123"/>
      <x:c r="AD47" s="117"/>
      <x:c r="AE47" s="124"/>
    </x:row>
    <x:row r="48">
      <x:c r="A48" s="115"/>
      <x:c r="B48" s="116"/>
      <x:c r="C48" s="117"/>
      <x:c r="D48" s="117"/>
      <x:c r="E48" s="117"/>
      <x:c r="F48" s="117"/>
      <x:c r="G48" s="117"/>
      <x:c r="H48" s="117"/>
      <x:c r="I48" s="117"/>
      <x:c r="J48" s="117"/>
      <x:c r="K48" s="117"/>
      <x:c r="L48" s="117"/>
      <x:c r="M48" s="118"/>
      <x:c r="N48" s="118"/>
      <x:c r="O48" s="118"/>
      <x:c r="P48" s="118"/>
      <x:c r="Q48" s="118"/>
      <x:c r="R48" s="118"/>
      <x:c r="S48" s="118"/>
      <x:c r="T48" s="119"/>
      <x:c r="U48" s="109" t="str">
        <x:f>IF(OR(N48="",S48=""),"",(S48-N48)*24)</x:f>
      </x:c>
      <x:c r="V48" s="120"/>
      <x:c r="W48" s="121"/>
      <x:c r="X48" s="122" t="str">
        <x:f>IF(OR(V48="",V48=0),"",W48/V48)</x:f>
      </x:c>
      <x:c r="Y48" s="123"/>
      <x:c r="Z48" s="123"/>
      <x:c r="AA48" s="123"/>
      <x:c r="AB48" s="123"/>
      <x:c r="AC48" s="123"/>
      <x:c r="AD48" s="117"/>
      <x:c r="AE48" s="124"/>
    </x:row>
    <x:row r="49">
      <x:c r="A49" s="115"/>
      <x:c r="B49" s="116"/>
      <x:c r="C49" s="117"/>
      <x:c r="D49" s="117"/>
      <x:c r="E49" s="117"/>
      <x:c r="F49" s="117"/>
      <x:c r="G49" s="117"/>
      <x:c r="H49" s="117"/>
      <x:c r="I49" s="117"/>
      <x:c r="J49" s="117"/>
      <x:c r="K49" s="117"/>
      <x:c r="L49" s="117"/>
      <x:c r="M49" s="118"/>
      <x:c r="N49" s="118"/>
      <x:c r="O49" s="118"/>
      <x:c r="P49" s="118"/>
      <x:c r="Q49" s="118"/>
      <x:c r="R49" s="118"/>
      <x:c r="S49" s="118"/>
      <x:c r="T49" s="119"/>
      <x:c r="U49" s="109" t="str">
        <x:f>IF(OR(N49="",S49=""),"",(S49-N49)*24)</x:f>
      </x:c>
      <x:c r="V49" s="120"/>
      <x:c r="W49" s="121"/>
      <x:c r="X49" s="122" t="str">
        <x:f>IF(OR(V49="",V49=0),"",W49/V49)</x:f>
      </x:c>
      <x:c r="Y49" s="123"/>
      <x:c r="Z49" s="123"/>
      <x:c r="AA49" s="123"/>
      <x:c r="AB49" s="123"/>
      <x:c r="AC49" s="123"/>
      <x:c r="AD49" s="117"/>
      <x:c r="AE49" s="124"/>
    </x:row>
    <x:row r="50">
      <x:c r="A50" s="115"/>
      <x:c r="B50" s="116"/>
      <x:c r="C50" s="117"/>
      <x:c r="D50" s="117"/>
      <x:c r="E50" s="117"/>
      <x:c r="F50" s="117"/>
      <x:c r="G50" s="117"/>
      <x:c r="H50" s="117"/>
      <x:c r="I50" s="117"/>
      <x:c r="J50" s="117"/>
      <x:c r="K50" s="117"/>
      <x:c r="L50" s="117"/>
      <x:c r="M50" s="118"/>
      <x:c r="N50" s="118"/>
      <x:c r="O50" s="118"/>
      <x:c r="P50" s="118"/>
      <x:c r="Q50" s="118"/>
      <x:c r="R50" s="118"/>
      <x:c r="S50" s="118"/>
      <x:c r="T50" s="119"/>
      <x:c r="U50" s="109" t="str">
        <x:f>IF(OR(N50="",S50=""),"",(S50-N50)*24)</x:f>
      </x:c>
      <x:c r="V50" s="120"/>
      <x:c r="W50" s="121"/>
      <x:c r="X50" s="122" t="str">
        <x:f>IF(OR(V50="",V50=0),"",W50/V50)</x:f>
      </x:c>
      <x:c r="Y50" s="123"/>
      <x:c r="Z50" s="123"/>
      <x:c r="AA50" s="123"/>
      <x:c r="AB50" s="123"/>
      <x:c r="AC50" s="123"/>
      <x:c r="AD50" s="117"/>
      <x:c r="AE50" s="124"/>
    </x:row>
    <x:row r="51">
      <x:c r="A51" s="115"/>
      <x:c r="B51" s="116"/>
      <x:c r="C51" s="117"/>
      <x:c r="D51" s="117"/>
      <x:c r="E51" s="117"/>
      <x:c r="F51" s="117"/>
      <x:c r="G51" s="117"/>
      <x:c r="H51" s="117"/>
      <x:c r="I51" s="117"/>
      <x:c r="J51" s="117"/>
      <x:c r="K51" s="117"/>
      <x:c r="L51" s="117"/>
      <x:c r="M51" s="118"/>
      <x:c r="N51" s="118"/>
      <x:c r="O51" s="118"/>
      <x:c r="P51" s="118"/>
      <x:c r="Q51" s="118"/>
      <x:c r="R51" s="118"/>
      <x:c r="S51" s="118"/>
      <x:c r="T51" s="119"/>
      <x:c r="U51" s="109" t="str">
        <x:f>IF(OR(N51="",S51=""),"",(S51-N51)*24)</x:f>
      </x:c>
      <x:c r="V51" s="120"/>
      <x:c r="W51" s="121"/>
      <x:c r="X51" s="122" t="str">
        <x:f>IF(OR(V51="",V51=0),"",W51/V51)</x:f>
      </x:c>
      <x:c r="Y51" s="123"/>
      <x:c r="Z51" s="123"/>
      <x:c r="AA51" s="123"/>
      <x:c r="AB51" s="123"/>
      <x:c r="AC51" s="123"/>
      <x:c r="AD51" s="117"/>
      <x:c r="AE51" s="124"/>
    </x:row>
    <x:row r="52">
      <x:c r="A52" s="115"/>
      <x:c r="B52" s="116"/>
      <x:c r="C52" s="117"/>
      <x:c r="D52" s="117"/>
      <x:c r="E52" s="117"/>
      <x:c r="F52" s="117"/>
      <x:c r="G52" s="117"/>
      <x:c r="H52" s="117"/>
      <x:c r="I52" s="117"/>
      <x:c r="J52" s="117"/>
      <x:c r="K52" s="117"/>
      <x:c r="L52" s="117"/>
      <x:c r="M52" s="118"/>
      <x:c r="N52" s="118"/>
      <x:c r="O52" s="118"/>
      <x:c r="P52" s="118"/>
      <x:c r="Q52" s="118"/>
      <x:c r="R52" s="118"/>
      <x:c r="S52" s="118"/>
      <x:c r="T52" s="119"/>
      <x:c r="U52" s="109" t="str">
        <x:f>IF(OR(N52="",S52=""),"",(S52-N52)*24)</x:f>
      </x:c>
      <x:c r="V52" s="120"/>
      <x:c r="W52" s="121"/>
      <x:c r="X52" s="122" t="str">
        <x:f>IF(OR(V52="",V52=0),"",W52/V52)</x:f>
      </x:c>
      <x:c r="Y52" s="123"/>
      <x:c r="Z52" s="123"/>
      <x:c r="AA52" s="123"/>
      <x:c r="AB52" s="123"/>
      <x:c r="AC52" s="123"/>
      <x:c r="AD52" s="117"/>
      <x:c r="AE52" s="124"/>
    </x:row>
    <x:row r="53">
      <x:c r="A53" s="115"/>
      <x:c r="B53" s="116"/>
      <x:c r="C53" s="117"/>
      <x:c r="D53" s="117"/>
      <x:c r="E53" s="117"/>
      <x:c r="F53" s="117"/>
      <x:c r="G53" s="117"/>
      <x:c r="H53" s="117"/>
      <x:c r="I53" s="117"/>
      <x:c r="J53" s="117"/>
      <x:c r="K53" s="117"/>
      <x:c r="L53" s="117"/>
      <x:c r="M53" s="118"/>
      <x:c r="N53" s="118"/>
      <x:c r="O53" s="118"/>
      <x:c r="P53" s="118"/>
      <x:c r="Q53" s="118"/>
      <x:c r="R53" s="118"/>
      <x:c r="S53" s="118"/>
      <x:c r="T53" s="119"/>
      <x:c r="U53" s="109" t="str">
        <x:f>IF(OR(N53="",S53=""),"",(S53-N53)*24)</x:f>
      </x:c>
      <x:c r="V53" s="120"/>
      <x:c r="W53" s="121"/>
      <x:c r="X53" s="122" t="str">
        <x:f>IF(OR(V53="",V53=0),"",W53/V53)</x:f>
      </x:c>
      <x:c r="Y53" s="123"/>
      <x:c r="Z53" s="123"/>
      <x:c r="AA53" s="123"/>
      <x:c r="AB53" s="123"/>
      <x:c r="AC53" s="123"/>
      <x:c r="AD53" s="117"/>
      <x:c r="AE53" s="124"/>
    </x:row>
    <x:row r="54">
      <x:c r="A54" s="115"/>
      <x:c r="B54" s="116"/>
      <x:c r="C54" s="117"/>
      <x:c r="D54" s="117"/>
      <x:c r="E54" s="117"/>
      <x:c r="F54" s="117"/>
      <x:c r="G54" s="117"/>
      <x:c r="H54" s="117"/>
      <x:c r="I54" s="117"/>
      <x:c r="J54" s="117"/>
      <x:c r="K54" s="117"/>
      <x:c r="L54" s="117"/>
      <x:c r="M54" s="118"/>
      <x:c r="N54" s="118"/>
      <x:c r="O54" s="118"/>
      <x:c r="P54" s="118"/>
      <x:c r="Q54" s="118"/>
      <x:c r="R54" s="118"/>
      <x:c r="S54" s="118"/>
      <x:c r="T54" s="119"/>
      <x:c r="U54" s="109" t="str">
        <x:f>IF(OR(N54="",S54=""),"",(S54-N54)*24)</x:f>
      </x:c>
      <x:c r="V54" s="120"/>
      <x:c r="W54" s="121"/>
      <x:c r="X54" s="122" t="str">
        <x:f>IF(OR(V54="",V54=0),"",W54/V54)</x:f>
      </x:c>
      <x:c r="Y54" s="123"/>
      <x:c r="Z54" s="123"/>
      <x:c r="AA54" s="123"/>
      <x:c r="AB54" s="123"/>
      <x:c r="AC54" s="123"/>
      <x:c r="AD54" s="117"/>
      <x:c r="AE54" s="124"/>
    </x:row>
    <x:row r="55">
      <x:c r="A55" s="115"/>
      <x:c r="B55" s="116"/>
      <x:c r="C55" s="117"/>
      <x:c r="D55" s="117"/>
      <x:c r="E55" s="117"/>
      <x:c r="F55" s="117"/>
      <x:c r="G55" s="117"/>
      <x:c r="H55" s="117"/>
      <x:c r="I55" s="117"/>
      <x:c r="J55" s="117"/>
      <x:c r="K55" s="117"/>
      <x:c r="L55" s="117"/>
      <x:c r="M55" s="118"/>
      <x:c r="N55" s="118"/>
      <x:c r="O55" s="118"/>
      <x:c r="P55" s="118"/>
      <x:c r="Q55" s="118"/>
      <x:c r="R55" s="118"/>
      <x:c r="S55" s="118"/>
      <x:c r="T55" s="119"/>
      <x:c r="U55" s="109" t="str">
        <x:f>IF(OR(N55="",S55=""),"",(S55-N55)*24)</x:f>
      </x:c>
      <x:c r="V55" s="120"/>
      <x:c r="W55" s="121"/>
      <x:c r="X55" s="122" t="str">
        <x:f>IF(OR(V55="",V55=0),"",W55/V55)</x:f>
      </x:c>
      <x:c r="Y55" s="123"/>
      <x:c r="Z55" s="123"/>
      <x:c r="AA55" s="123"/>
      <x:c r="AB55" s="123"/>
      <x:c r="AC55" s="123"/>
      <x:c r="AD55" s="117"/>
      <x:c r="AE55" s="124"/>
    </x:row>
    <x:row r="56">
      <x:c r="A56" s="115"/>
      <x:c r="B56" s="116"/>
      <x:c r="C56" s="117"/>
      <x:c r="D56" s="117"/>
      <x:c r="E56" s="117"/>
      <x:c r="F56" s="117"/>
      <x:c r="G56" s="117"/>
      <x:c r="H56" s="117"/>
      <x:c r="I56" s="117"/>
      <x:c r="J56" s="117"/>
      <x:c r="K56" s="117"/>
      <x:c r="L56" s="117"/>
      <x:c r="M56" s="118"/>
      <x:c r="N56" s="118"/>
      <x:c r="O56" s="118"/>
      <x:c r="P56" s="118"/>
      <x:c r="Q56" s="118"/>
      <x:c r="R56" s="118"/>
      <x:c r="S56" s="118"/>
      <x:c r="T56" s="119"/>
      <x:c r="U56" s="109" t="str">
        <x:f>IF(OR(N56="",S56=""),"",(S56-N56)*24)</x:f>
      </x:c>
      <x:c r="V56" s="120"/>
      <x:c r="W56" s="121"/>
      <x:c r="X56" s="122" t="str">
        <x:f>IF(OR(V56="",V56=0),"",W56/V56)</x:f>
      </x:c>
      <x:c r="Y56" s="123"/>
      <x:c r="Z56" s="123"/>
      <x:c r="AA56" s="123"/>
      <x:c r="AB56" s="123"/>
      <x:c r="AC56" s="123"/>
      <x:c r="AD56" s="117"/>
      <x:c r="AE56" s="124"/>
    </x:row>
    <x:row r="57">
      <x:c r="A57" s="115"/>
      <x:c r="B57" s="116"/>
      <x:c r="C57" s="117"/>
      <x:c r="D57" s="117"/>
      <x:c r="E57" s="117"/>
      <x:c r="F57" s="117"/>
      <x:c r="G57" s="117"/>
      <x:c r="H57" s="117"/>
      <x:c r="I57" s="117"/>
      <x:c r="J57" s="117"/>
      <x:c r="K57" s="117"/>
      <x:c r="L57" s="117"/>
      <x:c r="M57" s="118"/>
      <x:c r="N57" s="118"/>
      <x:c r="O57" s="118"/>
      <x:c r="P57" s="118"/>
      <x:c r="Q57" s="118"/>
      <x:c r="R57" s="118"/>
      <x:c r="S57" s="118"/>
      <x:c r="T57" s="119"/>
      <x:c r="U57" s="109" t="str">
        <x:f>IF(OR(N57="",S57=""),"",(S57-N57)*24)</x:f>
      </x:c>
      <x:c r="V57" s="120"/>
      <x:c r="W57" s="121"/>
      <x:c r="X57" s="122" t="str">
        <x:f>IF(OR(V57="",V57=0),"",W57/V57)</x:f>
      </x:c>
      <x:c r="Y57" s="123"/>
      <x:c r="Z57" s="123"/>
      <x:c r="AA57" s="123"/>
      <x:c r="AB57" s="123"/>
      <x:c r="AC57" s="123"/>
      <x:c r="AD57" s="117"/>
      <x:c r="AE57" s="124"/>
    </x:row>
    <x:row r="58">
      <x:c r="A58" s="115"/>
      <x:c r="B58" s="116"/>
      <x:c r="C58" s="117"/>
      <x:c r="D58" s="117"/>
      <x:c r="E58" s="117"/>
      <x:c r="F58" s="117"/>
      <x:c r="G58" s="117"/>
      <x:c r="H58" s="117"/>
      <x:c r="I58" s="117"/>
      <x:c r="J58" s="117"/>
      <x:c r="K58" s="117"/>
      <x:c r="L58" s="117"/>
      <x:c r="M58" s="118"/>
      <x:c r="N58" s="118"/>
      <x:c r="O58" s="118"/>
      <x:c r="P58" s="118"/>
      <x:c r="Q58" s="118"/>
      <x:c r="R58" s="118"/>
      <x:c r="S58" s="118"/>
      <x:c r="T58" s="119"/>
      <x:c r="U58" s="109" t="str">
        <x:f>IF(OR(N58="",S58=""),"",(S58-N58)*24)</x:f>
      </x:c>
      <x:c r="V58" s="120"/>
      <x:c r="W58" s="121"/>
      <x:c r="X58" s="122" t="str">
        <x:f>IF(OR(V58="",V58=0),"",W58/V58)</x:f>
      </x:c>
      <x:c r="Y58" s="123"/>
      <x:c r="Z58" s="123"/>
      <x:c r="AA58" s="123"/>
      <x:c r="AB58" s="123"/>
      <x:c r="AC58" s="123"/>
      <x:c r="AD58" s="117"/>
      <x:c r="AE58" s="124"/>
    </x:row>
    <x:row r="59">
      <x:c r="A59" s="115"/>
      <x:c r="B59" s="116"/>
      <x:c r="C59" s="117"/>
      <x:c r="D59" s="117"/>
      <x:c r="E59" s="117"/>
      <x:c r="F59" s="117"/>
      <x:c r="G59" s="117"/>
      <x:c r="H59" s="117"/>
      <x:c r="I59" s="117"/>
      <x:c r="J59" s="117"/>
      <x:c r="K59" s="117"/>
      <x:c r="L59" s="117"/>
      <x:c r="M59" s="118"/>
      <x:c r="N59" s="118"/>
      <x:c r="O59" s="118"/>
      <x:c r="P59" s="118"/>
      <x:c r="Q59" s="118"/>
      <x:c r="R59" s="118"/>
      <x:c r="S59" s="118"/>
      <x:c r="T59" s="119"/>
      <x:c r="U59" s="109" t="str">
        <x:f>IF(OR(N59="",S59=""),"",(S59-N59)*24)</x:f>
      </x:c>
      <x:c r="V59" s="120"/>
      <x:c r="W59" s="121"/>
      <x:c r="X59" s="122" t="str">
        <x:f>IF(OR(V59="",V59=0),"",W59/V59)</x:f>
      </x:c>
      <x:c r="Y59" s="123"/>
      <x:c r="Z59" s="123"/>
      <x:c r="AA59" s="123"/>
      <x:c r="AB59" s="123"/>
      <x:c r="AC59" s="123"/>
      <x:c r="AD59" s="117"/>
      <x:c r="AE59" s="124"/>
    </x:row>
    <x:row r="60">
      <x:c r="A60" s="115"/>
      <x:c r="B60" s="116"/>
      <x:c r="C60" s="117"/>
      <x:c r="D60" s="117"/>
      <x:c r="E60" s="117"/>
      <x:c r="F60" s="117"/>
      <x:c r="G60" s="117"/>
      <x:c r="H60" s="117"/>
      <x:c r="I60" s="117"/>
      <x:c r="J60" s="117"/>
      <x:c r="K60" s="117"/>
      <x:c r="L60" s="117"/>
      <x:c r="M60" s="118"/>
      <x:c r="N60" s="118"/>
      <x:c r="O60" s="118"/>
      <x:c r="P60" s="118"/>
      <x:c r="Q60" s="118"/>
      <x:c r="R60" s="118"/>
      <x:c r="S60" s="118"/>
      <x:c r="T60" s="119"/>
      <x:c r="U60" s="109" t="str">
        <x:f>IF(OR(N60="",S60=""),"",(S60-N60)*24)</x:f>
      </x:c>
      <x:c r="V60" s="120"/>
      <x:c r="W60" s="121"/>
      <x:c r="X60" s="122" t="str">
        <x:f>IF(OR(V60="",V60=0),"",W60/V60)</x:f>
      </x:c>
      <x:c r="Y60" s="123"/>
      <x:c r="Z60" s="123"/>
      <x:c r="AA60" s="123"/>
      <x:c r="AB60" s="123"/>
      <x:c r="AC60" s="123"/>
      <x:c r="AD60" s="117"/>
      <x:c r="AE60" s="124"/>
    </x:row>
    <x:row r="61">
      <x:c r="A61" s="115"/>
      <x:c r="B61" s="116"/>
      <x:c r="C61" s="117"/>
      <x:c r="D61" s="117"/>
      <x:c r="E61" s="117"/>
      <x:c r="F61" s="117"/>
      <x:c r="G61" s="117"/>
      <x:c r="H61" s="117"/>
      <x:c r="I61" s="117"/>
      <x:c r="J61" s="117"/>
      <x:c r="K61" s="117"/>
      <x:c r="L61" s="117"/>
      <x:c r="M61" s="118"/>
      <x:c r="N61" s="118"/>
      <x:c r="O61" s="118"/>
      <x:c r="P61" s="118"/>
      <x:c r="Q61" s="118"/>
      <x:c r="R61" s="118"/>
      <x:c r="S61" s="118"/>
      <x:c r="T61" s="119"/>
      <x:c r="U61" s="109" t="str">
        <x:f>IF(OR(N61="",S61=""),"",(S61-N61)*24)</x:f>
      </x:c>
      <x:c r="V61" s="120"/>
      <x:c r="W61" s="121"/>
      <x:c r="X61" s="122" t="str">
        <x:f>IF(OR(V61="",V61=0),"",W61/V61)</x:f>
      </x:c>
      <x:c r="Y61" s="123"/>
      <x:c r="Z61" s="123"/>
      <x:c r="AA61" s="123"/>
      <x:c r="AB61" s="123"/>
      <x:c r="AC61" s="123"/>
      <x:c r="AD61" s="117"/>
      <x:c r="AE61" s="124"/>
    </x:row>
    <x:row r="62">
      <x:c r="A62" s="115"/>
      <x:c r="B62" s="116"/>
      <x:c r="C62" s="117"/>
      <x:c r="D62" s="117"/>
      <x:c r="E62" s="117"/>
      <x:c r="F62" s="117"/>
      <x:c r="G62" s="117"/>
      <x:c r="H62" s="117"/>
      <x:c r="I62" s="117"/>
      <x:c r="J62" s="117"/>
      <x:c r="K62" s="117"/>
      <x:c r="L62" s="117"/>
      <x:c r="M62" s="118"/>
      <x:c r="N62" s="118"/>
      <x:c r="O62" s="118"/>
      <x:c r="P62" s="118"/>
      <x:c r="Q62" s="118"/>
      <x:c r="R62" s="118"/>
      <x:c r="S62" s="118"/>
      <x:c r="T62" s="119"/>
      <x:c r="U62" s="109" t="str">
        <x:f>IF(OR(N62="",S62=""),"",(S62-N62)*24)</x:f>
      </x:c>
      <x:c r="V62" s="120"/>
      <x:c r="W62" s="121"/>
      <x:c r="X62" s="122" t="str">
        <x:f>IF(OR(V62="",V62=0),"",W62/V62)</x:f>
      </x:c>
      <x:c r="Y62" s="123"/>
      <x:c r="Z62" s="123"/>
      <x:c r="AA62" s="123"/>
      <x:c r="AB62" s="123"/>
      <x:c r="AC62" s="123"/>
      <x:c r="AD62" s="117"/>
      <x:c r="AE62" s="124"/>
    </x:row>
    <x:row r="63">
      <x:c r="A63" s="115"/>
      <x:c r="B63" s="116"/>
      <x:c r="C63" s="117"/>
      <x:c r="D63" s="117"/>
      <x:c r="E63" s="117"/>
      <x:c r="F63" s="117"/>
      <x:c r="G63" s="117"/>
      <x:c r="H63" s="117"/>
      <x:c r="I63" s="117"/>
      <x:c r="J63" s="117"/>
      <x:c r="K63" s="117"/>
      <x:c r="L63" s="117"/>
      <x:c r="M63" s="118"/>
      <x:c r="N63" s="118"/>
      <x:c r="O63" s="118"/>
      <x:c r="P63" s="118"/>
      <x:c r="Q63" s="118"/>
      <x:c r="R63" s="118"/>
      <x:c r="S63" s="118"/>
      <x:c r="T63" s="119"/>
      <x:c r="U63" s="109" t="str">
        <x:f>IF(OR(N63="",S63=""),"",(S63-N63)*24)</x:f>
      </x:c>
      <x:c r="V63" s="120"/>
      <x:c r="W63" s="121"/>
      <x:c r="X63" s="122" t="str">
        <x:f>IF(OR(V63="",V63=0),"",W63/V63)</x:f>
      </x:c>
      <x:c r="Y63" s="123"/>
      <x:c r="Z63" s="123"/>
      <x:c r="AA63" s="123"/>
      <x:c r="AB63" s="123"/>
      <x:c r="AC63" s="123"/>
      <x:c r="AD63" s="117"/>
      <x:c r="AE63" s="124"/>
    </x:row>
    <x:row r="64">
      <x:c r="A64" s="115"/>
      <x:c r="B64" s="116"/>
      <x:c r="C64" s="117"/>
      <x:c r="D64" s="117"/>
      <x:c r="E64" s="117"/>
      <x:c r="F64" s="117"/>
      <x:c r="G64" s="117"/>
      <x:c r="H64" s="117"/>
      <x:c r="I64" s="117"/>
      <x:c r="J64" s="117"/>
      <x:c r="K64" s="117"/>
      <x:c r="L64" s="117"/>
      <x:c r="M64" s="118"/>
      <x:c r="N64" s="118"/>
      <x:c r="O64" s="118"/>
      <x:c r="P64" s="118"/>
      <x:c r="Q64" s="118"/>
      <x:c r="R64" s="118"/>
      <x:c r="S64" s="118"/>
      <x:c r="T64" s="119"/>
      <x:c r="U64" s="109" t="str">
        <x:f>IF(OR(N64="",S64=""),"",(S64-N64)*24)</x:f>
      </x:c>
      <x:c r="V64" s="120"/>
      <x:c r="W64" s="121"/>
      <x:c r="X64" s="122" t="str">
        <x:f>IF(OR(V64="",V64=0),"",W64/V64)</x:f>
      </x:c>
      <x:c r="Y64" s="123"/>
      <x:c r="Z64" s="123"/>
      <x:c r="AA64" s="123"/>
      <x:c r="AB64" s="123"/>
      <x:c r="AC64" s="123"/>
      <x:c r="AD64" s="117"/>
      <x:c r="AE64" s="124"/>
    </x:row>
    <x:row r="65">
      <x:c r="A65" s="115"/>
      <x:c r="B65" s="116"/>
      <x:c r="C65" s="117"/>
      <x:c r="D65" s="117"/>
      <x:c r="E65" s="117"/>
      <x:c r="F65" s="117"/>
      <x:c r="G65" s="117"/>
      <x:c r="H65" s="117"/>
      <x:c r="I65" s="117"/>
      <x:c r="J65" s="117"/>
      <x:c r="K65" s="117"/>
      <x:c r="L65" s="117"/>
      <x:c r="M65" s="118"/>
      <x:c r="N65" s="118"/>
      <x:c r="O65" s="118"/>
      <x:c r="P65" s="118"/>
      <x:c r="Q65" s="118"/>
      <x:c r="R65" s="118"/>
      <x:c r="S65" s="118"/>
      <x:c r="T65" s="119"/>
      <x:c r="U65" s="109" t="str">
        <x:f>IF(OR(N65="",S65=""),"",(S65-N65)*24)</x:f>
      </x:c>
      <x:c r="V65" s="120"/>
      <x:c r="W65" s="121"/>
      <x:c r="X65" s="122" t="str">
        <x:f>IF(OR(V65="",V65=0),"",W65/V65)</x:f>
      </x:c>
      <x:c r="Y65" s="123"/>
      <x:c r="Z65" s="123"/>
      <x:c r="AA65" s="123"/>
      <x:c r="AB65" s="123"/>
      <x:c r="AC65" s="123"/>
      <x:c r="AD65" s="117"/>
      <x:c r="AE65" s="124"/>
    </x:row>
    <x:row r="66">
      <x:c r="A66" s="115"/>
      <x:c r="B66" s="116"/>
      <x:c r="C66" s="117"/>
      <x:c r="D66" s="117"/>
      <x:c r="E66" s="117"/>
      <x:c r="F66" s="117"/>
      <x:c r="G66" s="117"/>
      <x:c r="H66" s="117"/>
      <x:c r="I66" s="117"/>
      <x:c r="J66" s="117"/>
      <x:c r="K66" s="117"/>
      <x:c r="L66" s="117"/>
      <x:c r="M66" s="118"/>
      <x:c r="N66" s="118"/>
      <x:c r="O66" s="118"/>
      <x:c r="P66" s="118"/>
      <x:c r="Q66" s="118"/>
      <x:c r="R66" s="118"/>
      <x:c r="S66" s="118"/>
      <x:c r="T66" s="119"/>
      <x:c r="U66" s="109" t="str">
        <x:f>IF(OR(N66="",S66=""),"",(S66-N66)*24)</x:f>
      </x:c>
      <x:c r="V66" s="120"/>
      <x:c r="W66" s="121"/>
      <x:c r="X66" s="122" t="str">
        <x:f>IF(OR(V66="",V66=0),"",W66/V66)</x:f>
      </x:c>
      <x:c r="Y66" s="123"/>
      <x:c r="Z66" s="123"/>
      <x:c r="AA66" s="123"/>
      <x:c r="AB66" s="123"/>
      <x:c r="AC66" s="123"/>
      <x:c r="AD66" s="117"/>
      <x:c r="AE66" s="124"/>
    </x:row>
    <x:row r="67">
      <x:c r="A67" s="115"/>
      <x:c r="B67" s="116"/>
      <x:c r="C67" s="117"/>
      <x:c r="D67" s="117"/>
      <x:c r="E67" s="117"/>
      <x:c r="F67" s="117"/>
      <x:c r="G67" s="117"/>
      <x:c r="H67" s="117"/>
      <x:c r="I67" s="117"/>
      <x:c r="J67" s="117"/>
      <x:c r="K67" s="117"/>
      <x:c r="L67" s="117"/>
      <x:c r="M67" s="118"/>
      <x:c r="N67" s="118"/>
      <x:c r="O67" s="118"/>
      <x:c r="P67" s="118"/>
      <x:c r="Q67" s="118"/>
      <x:c r="R67" s="118"/>
      <x:c r="S67" s="118"/>
      <x:c r="T67" s="119"/>
      <x:c r="U67" s="109" t="str">
        <x:f>IF(OR(N67="",S67=""),"",(S67-N67)*24)</x:f>
      </x:c>
      <x:c r="V67" s="120"/>
      <x:c r="W67" s="121"/>
      <x:c r="X67" s="122" t="str">
        <x:f>IF(OR(V67="",V67=0),"",W67/V67)</x:f>
      </x:c>
      <x:c r="Y67" s="123"/>
      <x:c r="Z67" s="123"/>
      <x:c r="AA67" s="123"/>
      <x:c r="AB67" s="123"/>
      <x:c r="AC67" s="123"/>
      <x:c r="AD67" s="117"/>
      <x:c r="AE67" s="124"/>
    </x:row>
    <x:row r="68">
      <x:c r="A68" s="115"/>
      <x:c r="B68" s="116"/>
      <x:c r="C68" s="117"/>
      <x:c r="D68" s="117"/>
      <x:c r="E68" s="117"/>
      <x:c r="F68" s="117"/>
      <x:c r="G68" s="117"/>
      <x:c r="H68" s="117"/>
      <x:c r="I68" s="117"/>
      <x:c r="J68" s="117"/>
      <x:c r="K68" s="117"/>
      <x:c r="L68" s="117"/>
      <x:c r="M68" s="118"/>
      <x:c r="N68" s="118"/>
      <x:c r="O68" s="118"/>
      <x:c r="P68" s="118"/>
      <x:c r="Q68" s="118"/>
      <x:c r="R68" s="118"/>
      <x:c r="S68" s="118"/>
      <x:c r="T68" s="119"/>
      <x:c r="U68" s="109" t="str">
        <x:f>IF(OR(N68="",S68=""),"",(S68-N68)*24)</x:f>
      </x:c>
      <x:c r="V68" s="120"/>
      <x:c r="W68" s="121"/>
      <x:c r="X68" s="122" t="str">
        <x:f>IF(OR(V68="",V68=0),"",W68/V68)</x:f>
      </x:c>
      <x:c r="Y68" s="123"/>
      <x:c r="Z68" s="123"/>
      <x:c r="AA68" s="123"/>
      <x:c r="AB68" s="123"/>
      <x:c r="AC68" s="123"/>
      <x:c r="AD68" s="117"/>
      <x:c r="AE68" s="124"/>
    </x:row>
    <x:row r="69">
      <x:c r="A69" s="115"/>
      <x:c r="B69" s="116"/>
      <x:c r="C69" s="117"/>
      <x:c r="D69" s="117"/>
      <x:c r="E69" s="117"/>
      <x:c r="F69" s="117"/>
      <x:c r="G69" s="117"/>
      <x:c r="H69" s="117"/>
      <x:c r="I69" s="117"/>
      <x:c r="J69" s="117"/>
      <x:c r="K69" s="117"/>
      <x:c r="L69" s="117"/>
      <x:c r="M69" s="118"/>
      <x:c r="N69" s="118"/>
      <x:c r="O69" s="118"/>
      <x:c r="P69" s="118"/>
      <x:c r="Q69" s="118"/>
      <x:c r="R69" s="118"/>
      <x:c r="S69" s="118"/>
      <x:c r="T69" s="119"/>
      <x:c r="U69" s="109" t="str">
        <x:f>IF(OR(N69="",S69=""),"",(S69-N69)*24)</x:f>
      </x:c>
      <x:c r="V69" s="120"/>
      <x:c r="W69" s="121"/>
      <x:c r="X69" s="122" t="str">
        <x:f>IF(OR(V69="",V69=0),"",W69/V69)</x:f>
      </x:c>
      <x:c r="Y69" s="123"/>
      <x:c r="Z69" s="123"/>
      <x:c r="AA69" s="123"/>
      <x:c r="AB69" s="123"/>
      <x:c r="AC69" s="123"/>
      <x:c r="AD69" s="117"/>
      <x:c r="AE69" s="124"/>
    </x:row>
    <x:row r="70">
      <x:c r="A70" s="115"/>
      <x:c r="B70" s="116"/>
      <x:c r="C70" s="117"/>
      <x:c r="D70" s="117"/>
      <x:c r="E70" s="117"/>
      <x:c r="F70" s="117"/>
      <x:c r="G70" s="117"/>
      <x:c r="H70" s="117"/>
      <x:c r="I70" s="117"/>
      <x:c r="J70" s="117"/>
      <x:c r="K70" s="117"/>
      <x:c r="L70" s="117"/>
      <x:c r="M70" s="118"/>
      <x:c r="N70" s="118"/>
      <x:c r="O70" s="118"/>
      <x:c r="P70" s="118"/>
      <x:c r="Q70" s="118"/>
      <x:c r="R70" s="118"/>
      <x:c r="S70" s="118"/>
      <x:c r="T70" s="119"/>
      <x:c r="U70" s="109" t="str">
        <x:f>IF(OR(N70="",S70=""),"",(S70-N70)*24)</x:f>
      </x:c>
      <x:c r="V70" s="120"/>
      <x:c r="W70" s="121"/>
      <x:c r="X70" s="122" t="str">
        <x:f>IF(OR(V70="",V70=0),"",W70/V70)</x:f>
      </x:c>
      <x:c r="Y70" s="123"/>
      <x:c r="Z70" s="123"/>
      <x:c r="AA70" s="123"/>
      <x:c r="AB70" s="123"/>
      <x:c r="AC70" s="123"/>
      <x:c r="AD70" s="117"/>
      <x:c r="AE70" s="124"/>
    </x:row>
    <x:row r="71">
      <x:c r="A71" s="115"/>
      <x:c r="B71" s="116"/>
      <x:c r="C71" s="117"/>
      <x:c r="D71" s="117"/>
      <x:c r="E71" s="117"/>
      <x:c r="F71" s="117"/>
      <x:c r="G71" s="117"/>
      <x:c r="H71" s="117"/>
      <x:c r="I71" s="117"/>
      <x:c r="J71" s="117"/>
      <x:c r="K71" s="117"/>
      <x:c r="L71" s="117"/>
      <x:c r="M71" s="118"/>
      <x:c r="N71" s="118"/>
      <x:c r="O71" s="118"/>
      <x:c r="P71" s="118"/>
      <x:c r="Q71" s="118"/>
      <x:c r="R71" s="118"/>
      <x:c r="S71" s="118"/>
      <x:c r="T71" s="119"/>
      <x:c r="U71" s="109" t="str">
        <x:f>IF(OR(N71="",S71=""),"",(S71-N71)*24)</x:f>
      </x:c>
      <x:c r="V71" s="120"/>
      <x:c r="W71" s="121"/>
      <x:c r="X71" s="122" t="str">
        <x:f>IF(OR(V71="",V71=0),"",W71/V71)</x:f>
      </x:c>
      <x:c r="Y71" s="123"/>
      <x:c r="Z71" s="123"/>
      <x:c r="AA71" s="123"/>
      <x:c r="AB71" s="123"/>
      <x:c r="AC71" s="123"/>
      <x:c r="AD71" s="117"/>
      <x:c r="AE71" s="124"/>
    </x:row>
    <x:row r="72">
      <x:c r="A72" s="115"/>
      <x:c r="B72" s="116"/>
      <x:c r="C72" s="117"/>
      <x:c r="D72" s="117"/>
      <x:c r="E72" s="117"/>
      <x:c r="F72" s="117"/>
      <x:c r="G72" s="117"/>
      <x:c r="H72" s="117"/>
      <x:c r="I72" s="117"/>
      <x:c r="J72" s="117"/>
      <x:c r="K72" s="117"/>
      <x:c r="L72" s="117"/>
      <x:c r="M72" s="118"/>
      <x:c r="N72" s="118"/>
      <x:c r="O72" s="118"/>
      <x:c r="P72" s="118"/>
      <x:c r="Q72" s="118"/>
      <x:c r="R72" s="118"/>
      <x:c r="S72" s="118"/>
      <x:c r="T72" s="119"/>
      <x:c r="U72" s="109" t="str">
        <x:f>IF(OR(N72="",S72=""),"",(S72-N72)*24)</x:f>
      </x:c>
      <x:c r="V72" s="120"/>
      <x:c r="W72" s="121"/>
      <x:c r="X72" s="122" t="str">
        <x:f>IF(OR(V72="",V72=0),"",W72/V72)</x:f>
      </x:c>
      <x:c r="Y72" s="123"/>
      <x:c r="Z72" s="123"/>
      <x:c r="AA72" s="123"/>
      <x:c r="AB72" s="123"/>
      <x:c r="AC72" s="123"/>
      <x:c r="AD72" s="117"/>
      <x:c r="AE72" s="124"/>
    </x:row>
    <x:row r="73">
      <x:c r="A73" s="115"/>
      <x:c r="B73" s="116"/>
      <x:c r="C73" s="117"/>
      <x:c r="D73" s="117"/>
      <x:c r="E73" s="117"/>
      <x:c r="F73" s="117"/>
      <x:c r="G73" s="117"/>
      <x:c r="H73" s="117"/>
      <x:c r="I73" s="117"/>
      <x:c r="J73" s="117"/>
      <x:c r="K73" s="117"/>
      <x:c r="L73" s="117"/>
      <x:c r="M73" s="118"/>
      <x:c r="N73" s="118"/>
      <x:c r="O73" s="118"/>
      <x:c r="P73" s="118"/>
      <x:c r="Q73" s="118"/>
      <x:c r="R73" s="118"/>
      <x:c r="S73" s="118"/>
      <x:c r="T73" s="119"/>
      <x:c r="U73" s="109" t="str">
        <x:f>IF(OR(N73="",S73=""),"",(S73-N73)*24)</x:f>
      </x:c>
      <x:c r="V73" s="120"/>
      <x:c r="W73" s="121"/>
      <x:c r="X73" s="122" t="str">
        <x:f>IF(OR(V73="",V73=0),"",W73/V73)</x:f>
      </x:c>
      <x:c r="Y73" s="123"/>
      <x:c r="Z73" s="123"/>
      <x:c r="AA73" s="123"/>
      <x:c r="AB73" s="123"/>
      <x:c r="AC73" s="123"/>
      <x:c r="AD73" s="117"/>
      <x:c r="AE73" s="124"/>
    </x:row>
    <x:row r="74">
      <x:c r="A74" s="115"/>
      <x:c r="B74" s="116"/>
      <x:c r="C74" s="117"/>
      <x:c r="D74" s="117"/>
      <x:c r="E74" s="117"/>
      <x:c r="F74" s="117"/>
      <x:c r="G74" s="117"/>
      <x:c r="H74" s="117"/>
      <x:c r="I74" s="117"/>
      <x:c r="J74" s="117"/>
      <x:c r="K74" s="117"/>
      <x:c r="L74" s="117"/>
      <x:c r="M74" s="118"/>
      <x:c r="N74" s="118"/>
      <x:c r="O74" s="118"/>
      <x:c r="P74" s="118"/>
      <x:c r="Q74" s="118"/>
      <x:c r="R74" s="118"/>
      <x:c r="S74" s="118"/>
      <x:c r="T74" s="119"/>
      <x:c r="U74" s="109" t="str">
        <x:f>IF(OR(N74="",S74=""),"",(S74-N74)*24)</x:f>
      </x:c>
      <x:c r="V74" s="120"/>
      <x:c r="W74" s="121"/>
      <x:c r="X74" s="122" t="str">
        <x:f>IF(OR(V74="",V74=0),"",W74/V74)</x:f>
      </x:c>
      <x:c r="Y74" s="123"/>
      <x:c r="Z74" s="123"/>
      <x:c r="AA74" s="123"/>
      <x:c r="AB74" s="123"/>
      <x:c r="AC74" s="123"/>
      <x:c r="AD74" s="117"/>
      <x:c r="AE74" s="124"/>
    </x:row>
    <x:row r="75">
      <x:c r="A75" s="115"/>
      <x:c r="B75" s="116"/>
      <x:c r="C75" s="117"/>
      <x:c r="D75" s="117"/>
      <x:c r="E75" s="117"/>
      <x:c r="F75" s="117"/>
      <x:c r="G75" s="117"/>
      <x:c r="H75" s="117"/>
      <x:c r="I75" s="117"/>
      <x:c r="J75" s="117"/>
      <x:c r="K75" s="117"/>
      <x:c r="L75" s="117"/>
      <x:c r="M75" s="118"/>
      <x:c r="N75" s="118"/>
      <x:c r="O75" s="118"/>
      <x:c r="P75" s="118"/>
      <x:c r="Q75" s="118"/>
      <x:c r="R75" s="118"/>
      <x:c r="S75" s="118"/>
      <x:c r="T75" s="119"/>
      <x:c r="U75" s="109" t="str">
        <x:f>IF(OR(N75="",S75=""),"",(S75-N75)*24)</x:f>
      </x:c>
      <x:c r="V75" s="120"/>
      <x:c r="W75" s="121"/>
      <x:c r="X75" s="122" t="str">
        <x:f>IF(OR(V75="",V75=0),"",W75/V75)</x:f>
      </x:c>
      <x:c r="Y75" s="123"/>
      <x:c r="Z75" s="123"/>
      <x:c r="AA75" s="123"/>
      <x:c r="AB75" s="123"/>
      <x:c r="AC75" s="123"/>
      <x:c r="AD75" s="117"/>
      <x:c r="AE75" s="124"/>
    </x:row>
    <x:row r="76">
      <x:c r="A76" s="115"/>
      <x:c r="B76" s="116"/>
      <x:c r="C76" s="117"/>
      <x:c r="D76" s="117"/>
      <x:c r="E76" s="117"/>
      <x:c r="F76" s="117"/>
      <x:c r="G76" s="117"/>
      <x:c r="H76" s="117"/>
      <x:c r="I76" s="117"/>
      <x:c r="J76" s="117"/>
      <x:c r="K76" s="117"/>
      <x:c r="L76" s="117"/>
      <x:c r="M76" s="118"/>
      <x:c r="N76" s="118"/>
      <x:c r="O76" s="118"/>
      <x:c r="P76" s="118"/>
      <x:c r="Q76" s="118"/>
      <x:c r="R76" s="118"/>
      <x:c r="S76" s="118"/>
      <x:c r="T76" s="119"/>
      <x:c r="U76" s="109" t="str">
        <x:f>IF(OR(N76="",S76=""),"",(S76-N76)*24)</x:f>
      </x:c>
      <x:c r="V76" s="120"/>
      <x:c r="W76" s="121"/>
      <x:c r="X76" s="122" t="str">
        <x:f>IF(OR(V76="",V76=0),"",W76/V76)</x:f>
      </x:c>
      <x:c r="Y76" s="123"/>
      <x:c r="Z76" s="123"/>
      <x:c r="AA76" s="123"/>
      <x:c r="AB76" s="123"/>
      <x:c r="AC76" s="123"/>
      <x:c r="AD76" s="117"/>
      <x:c r="AE76" s="124"/>
    </x:row>
    <x:row r="77">
      <x:c r="A77" s="115"/>
      <x:c r="B77" s="116"/>
      <x:c r="C77" s="117"/>
      <x:c r="D77" s="117"/>
      <x:c r="E77" s="117"/>
      <x:c r="F77" s="117"/>
      <x:c r="G77" s="117"/>
      <x:c r="H77" s="117"/>
      <x:c r="I77" s="117"/>
      <x:c r="J77" s="117"/>
      <x:c r="K77" s="117"/>
      <x:c r="L77" s="117"/>
      <x:c r="M77" s="118"/>
      <x:c r="N77" s="118"/>
      <x:c r="O77" s="118"/>
      <x:c r="P77" s="118"/>
      <x:c r="Q77" s="118"/>
      <x:c r="R77" s="118"/>
      <x:c r="S77" s="118"/>
      <x:c r="T77" s="119"/>
      <x:c r="U77" s="109" t="str">
        <x:f>IF(OR(N77="",S77=""),"",(S77-N77)*24)</x:f>
      </x:c>
      <x:c r="V77" s="120"/>
      <x:c r="W77" s="121"/>
      <x:c r="X77" s="122" t="str">
        <x:f>IF(OR(V77="",V77=0),"",W77/V77)</x:f>
      </x:c>
      <x:c r="Y77" s="123"/>
      <x:c r="Z77" s="123"/>
      <x:c r="AA77" s="123"/>
      <x:c r="AB77" s="123"/>
      <x:c r="AC77" s="123"/>
      <x:c r="AD77" s="117"/>
      <x:c r="AE77" s="124"/>
    </x:row>
    <x:row r="78">
      <x:c r="A78" s="115"/>
      <x:c r="B78" s="116"/>
      <x:c r="C78" s="117"/>
      <x:c r="D78" s="117"/>
      <x:c r="E78" s="117"/>
      <x:c r="F78" s="117"/>
      <x:c r="G78" s="117"/>
      <x:c r="H78" s="117"/>
      <x:c r="I78" s="117"/>
      <x:c r="J78" s="117"/>
      <x:c r="K78" s="117"/>
      <x:c r="L78" s="117"/>
      <x:c r="M78" s="118"/>
      <x:c r="N78" s="118"/>
      <x:c r="O78" s="118"/>
      <x:c r="P78" s="118"/>
      <x:c r="Q78" s="118"/>
      <x:c r="R78" s="118"/>
      <x:c r="S78" s="118"/>
      <x:c r="T78" s="119"/>
      <x:c r="U78" s="109" t="str">
        <x:f>IF(OR(N78="",S78=""),"",(S78-N78)*24)</x:f>
      </x:c>
      <x:c r="V78" s="120"/>
      <x:c r="W78" s="121"/>
      <x:c r="X78" s="122" t="str">
        <x:f>IF(OR(V78="",V78=0),"",W78/V78)</x:f>
      </x:c>
      <x:c r="Y78" s="123"/>
      <x:c r="Z78" s="123"/>
      <x:c r="AA78" s="123"/>
      <x:c r="AB78" s="123"/>
      <x:c r="AC78" s="123"/>
      <x:c r="AD78" s="117"/>
      <x:c r="AE78" s="124"/>
    </x:row>
    <x:row r="79">
      <x:c r="A79" s="115"/>
      <x:c r="B79" s="116"/>
      <x:c r="C79" s="117"/>
      <x:c r="D79" s="117"/>
      <x:c r="E79" s="117"/>
      <x:c r="F79" s="117"/>
      <x:c r="G79" s="117"/>
      <x:c r="H79" s="117"/>
      <x:c r="I79" s="117"/>
      <x:c r="J79" s="117"/>
      <x:c r="K79" s="117"/>
      <x:c r="L79" s="117"/>
      <x:c r="M79" s="118"/>
      <x:c r="N79" s="118"/>
      <x:c r="O79" s="118"/>
      <x:c r="P79" s="118"/>
      <x:c r="Q79" s="118"/>
      <x:c r="R79" s="118"/>
      <x:c r="S79" s="118"/>
      <x:c r="T79" s="119"/>
      <x:c r="U79" s="109" t="str">
        <x:f>IF(OR(N79="",S79=""),"",(S79-N79)*24)</x:f>
      </x:c>
      <x:c r="V79" s="120"/>
      <x:c r="W79" s="121"/>
      <x:c r="X79" s="122" t="str">
        <x:f>IF(OR(V79="",V79=0),"",W79/V79)</x:f>
      </x:c>
      <x:c r="Y79" s="123"/>
      <x:c r="Z79" s="123"/>
      <x:c r="AA79" s="123"/>
      <x:c r="AB79" s="123"/>
      <x:c r="AC79" s="123"/>
      <x:c r="AD79" s="117"/>
      <x:c r="AE79" s="124"/>
    </x:row>
    <x:row r="80">
      <x:c r="A80" s="115"/>
      <x:c r="B80" s="116"/>
      <x:c r="C80" s="117"/>
      <x:c r="D80" s="117"/>
      <x:c r="E80" s="117"/>
      <x:c r="F80" s="117"/>
      <x:c r="G80" s="117"/>
      <x:c r="H80" s="117"/>
      <x:c r="I80" s="117"/>
      <x:c r="J80" s="117"/>
      <x:c r="K80" s="117"/>
      <x:c r="L80" s="117"/>
      <x:c r="M80" s="118"/>
      <x:c r="N80" s="118"/>
      <x:c r="O80" s="118"/>
      <x:c r="P80" s="118"/>
      <x:c r="Q80" s="118"/>
      <x:c r="R80" s="118"/>
      <x:c r="S80" s="118"/>
      <x:c r="T80" s="119"/>
      <x:c r="U80" s="109" t="str">
        <x:f>IF(OR(N80="",S80=""),"",(S80-N80)*24)</x:f>
      </x:c>
      <x:c r="V80" s="120"/>
      <x:c r="W80" s="121"/>
      <x:c r="X80" s="122" t="str">
        <x:f>IF(OR(V80="",V80=0),"",W80/V80)</x:f>
      </x:c>
      <x:c r="Y80" s="123"/>
      <x:c r="Z80" s="123"/>
      <x:c r="AA80" s="123"/>
      <x:c r="AB80" s="123"/>
      <x:c r="AC80" s="123"/>
      <x:c r="AD80" s="117"/>
      <x:c r="AE80" s="124"/>
    </x:row>
    <x:row r="81">
      <x:c r="A81" s="115"/>
      <x:c r="B81" s="116"/>
      <x:c r="C81" s="117"/>
      <x:c r="D81" s="117"/>
      <x:c r="E81" s="117"/>
      <x:c r="F81" s="117"/>
      <x:c r="G81" s="117"/>
      <x:c r="H81" s="117"/>
      <x:c r="I81" s="117"/>
      <x:c r="J81" s="117"/>
      <x:c r="K81" s="117"/>
      <x:c r="L81" s="117"/>
      <x:c r="M81" s="118"/>
      <x:c r="N81" s="118"/>
      <x:c r="O81" s="118"/>
      <x:c r="P81" s="118"/>
      <x:c r="Q81" s="118"/>
      <x:c r="R81" s="118"/>
      <x:c r="S81" s="118"/>
      <x:c r="T81" s="119"/>
      <x:c r="U81" s="109" t="str">
        <x:f>IF(OR(N81="",S81=""),"",(S81-N81)*24)</x:f>
      </x:c>
      <x:c r="V81" s="120"/>
      <x:c r="W81" s="121"/>
      <x:c r="X81" s="122" t="str">
        <x:f>IF(OR(V81="",V81=0),"",W81/V81)</x:f>
      </x:c>
      <x:c r="Y81" s="123"/>
      <x:c r="Z81" s="123"/>
      <x:c r="AA81" s="123"/>
      <x:c r="AB81" s="123"/>
      <x:c r="AC81" s="123"/>
      <x:c r="AD81" s="117"/>
      <x:c r="AE81" s="124"/>
    </x:row>
    <x:row r="82">
      <x:c r="A82" s="115"/>
      <x:c r="B82" s="116"/>
      <x:c r="C82" s="117"/>
      <x:c r="D82" s="117"/>
      <x:c r="E82" s="117"/>
      <x:c r="F82" s="117"/>
      <x:c r="G82" s="117"/>
      <x:c r="H82" s="117"/>
      <x:c r="I82" s="117"/>
      <x:c r="J82" s="117"/>
      <x:c r="K82" s="117"/>
      <x:c r="L82" s="117"/>
      <x:c r="M82" s="118"/>
      <x:c r="N82" s="118"/>
      <x:c r="O82" s="118"/>
      <x:c r="P82" s="118"/>
      <x:c r="Q82" s="118"/>
      <x:c r="R82" s="118"/>
      <x:c r="S82" s="118"/>
      <x:c r="T82" s="119"/>
      <x:c r="U82" s="109" t="str">
        <x:f>IF(OR(N82="",S82=""),"",(S82-N82)*24)</x:f>
      </x:c>
      <x:c r="V82" s="120"/>
      <x:c r="W82" s="121"/>
      <x:c r="X82" s="122" t="str">
        <x:f>IF(OR(V82="",V82=0),"",W82/V82)</x:f>
      </x:c>
      <x:c r="Y82" s="123"/>
      <x:c r="Z82" s="123"/>
      <x:c r="AA82" s="123"/>
      <x:c r="AB82" s="123"/>
      <x:c r="AC82" s="123"/>
      <x:c r="AD82" s="117"/>
      <x:c r="AE82" s="124"/>
    </x:row>
    <x:row r="83">
      <x:c r="A83" s="115"/>
      <x:c r="B83" s="116"/>
      <x:c r="C83" s="117"/>
      <x:c r="D83" s="117"/>
      <x:c r="E83" s="117"/>
      <x:c r="F83" s="117"/>
      <x:c r="G83" s="117"/>
      <x:c r="H83" s="117"/>
      <x:c r="I83" s="117"/>
      <x:c r="J83" s="117"/>
      <x:c r="K83" s="117"/>
      <x:c r="L83" s="117"/>
      <x:c r="M83" s="118"/>
      <x:c r="N83" s="118"/>
      <x:c r="O83" s="118"/>
      <x:c r="P83" s="118"/>
      <x:c r="Q83" s="118"/>
      <x:c r="R83" s="118"/>
      <x:c r="S83" s="118"/>
      <x:c r="T83" s="119"/>
      <x:c r="U83" s="109" t="str">
        <x:f>IF(OR(N83="",S83=""),"",(S83-N83)*24)</x:f>
      </x:c>
      <x:c r="V83" s="120"/>
      <x:c r="W83" s="121"/>
      <x:c r="X83" s="122" t="str">
        <x:f>IF(OR(V83="",V83=0),"",W83/V83)</x:f>
      </x:c>
      <x:c r="Y83" s="123"/>
      <x:c r="Z83" s="123"/>
      <x:c r="AA83" s="123"/>
      <x:c r="AB83" s="123"/>
      <x:c r="AC83" s="123"/>
      <x:c r="AD83" s="117"/>
      <x:c r="AE83" s="124"/>
    </x:row>
    <x:row r="84">
      <x:c r="A84" s="115"/>
      <x:c r="B84" s="116"/>
      <x:c r="C84" s="117"/>
      <x:c r="D84" s="117"/>
      <x:c r="E84" s="117"/>
      <x:c r="F84" s="117"/>
      <x:c r="G84" s="117"/>
      <x:c r="H84" s="117"/>
      <x:c r="I84" s="117"/>
      <x:c r="J84" s="117"/>
      <x:c r="K84" s="117"/>
      <x:c r="L84" s="117"/>
      <x:c r="M84" s="118"/>
      <x:c r="N84" s="118"/>
      <x:c r="O84" s="118"/>
      <x:c r="P84" s="118"/>
      <x:c r="Q84" s="118"/>
      <x:c r="R84" s="118"/>
      <x:c r="S84" s="118"/>
      <x:c r="T84" s="119"/>
      <x:c r="U84" s="109" t="str">
        <x:f>IF(OR(N84="",S84=""),"",(S84-N84)*24)</x:f>
      </x:c>
      <x:c r="V84" s="120"/>
      <x:c r="W84" s="121"/>
      <x:c r="X84" s="122" t="str">
        <x:f>IF(OR(V84="",V84=0),"",W84/V84)</x:f>
      </x:c>
      <x:c r="Y84" s="123"/>
      <x:c r="Z84" s="123"/>
      <x:c r="AA84" s="123"/>
      <x:c r="AB84" s="123"/>
      <x:c r="AC84" s="123"/>
      <x:c r="AD84" s="117"/>
      <x:c r="AE84" s="124"/>
    </x:row>
    <x:row r="85">
      <x:c r="A85" s="115"/>
      <x:c r="B85" s="116"/>
      <x:c r="C85" s="117"/>
      <x:c r="D85" s="117"/>
      <x:c r="E85" s="117"/>
      <x:c r="F85" s="117"/>
      <x:c r="G85" s="117"/>
      <x:c r="H85" s="117"/>
      <x:c r="I85" s="117"/>
      <x:c r="J85" s="117"/>
      <x:c r="K85" s="117"/>
      <x:c r="L85" s="117"/>
      <x:c r="M85" s="118"/>
      <x:c r="N85" s="118"/>
      <x:c r="O85" s="118"/>
      <x:c r="P85" s="118"/>
      <x:c r="Q85" s="118"/>
      <x:c r="R85" s="118"/>
      <x:c r="S85" s="118"/>
      <x:c r="T85" s="119"/>
      <x:c r="U85" s="109" t="str">
        <x:f>IF(OR(N85="",S85=""),"",(S85-N85)*24)</x:f>
      </x:c>
      <x:c r="V85" s="120"/>
      <x:c r="W85" s="121"/>
      <x:c r="X85" s="122" t="str">
        <x:f>IF(OR(V85="",V85=0),"",W85/V85)</x:f>
      </x:c>
      <x:c r="Y85" s="123"/>
      <x:c r="Z85" s="123"/>
      <x:c r="AA85" s="123"/>
      <x:c r="AB85" s="123"/>
      <x:c r="AC85" s="123"/>
      <x:c r="AD85" s="117"/>
      <x:c r="AE85" s="124"/>
    </x:row>
    <x:row r="86">
      <x:c r="A86" s="115"/>
      <x:c r="B86" s="116"/>
      <x:c r="C86" s="117"/>
      <x:c r="D86" s="117"/>
      <x:c r="E86" s="117"/>
      <x:c r="F86" s="117"/>
      <x:c r="G86" s="117"/>
      <x:c r="H86" s="117"/>
      <x:c r="I86" s="117"/>
      <x:c r="J86" s="117"/>
      <x:c r="K86" s="117"/>
      <x:c r="L86" s="117"/>
      <x:c r="M86" s="118"/>
      <x:c r="N86" s="118"/>
      <x:c r="O86" s="118"/>
      <x:c r="P86" s="118"/>
      <x:c r="Q86" s="118"/>
      <x:c r="R86" s="118"/>
      <x:c r="S86" s="118"/>
      <x:c r="T86" s="119"/>
      <x:c r="U86" s="109" t="str">
        <x:f>IF(OR(N86="",S86=""),"",(S86-N86)*24)</x:f>
      </x:c>
      <x:c r="V86" s="120"/>
      <x:c r="W86" s="121"/>
      <x:c r="X86" s="122" t="str">
        <x:f>IF(OR(V86="",V86=0),"",W86/V86)</x:f>
      </x:c>
      <x:c r="Y86" s="123"/>
      <x:c r="Z86" s="123"/>
      <x:c r="AA86" s="123"/>
      <x:c r="AB86" s="123"/>
      <x:c r="AC86" s="123"/>
      <x:c r="AD86" s="117"/>
      <x:c r="AE86" s="124"/>
    </x:row>
    <x:row r="87">
      <x:c r="A87" s="115"/>
      <x:c r="B87" s="116"/>
      <x:c r="C87" s="117"/>
      <x:c r="D87" s="117"/>
      <x:c r="E87" s="117"/>
      <x:c r="F87" s="117"/>
      <x:c r="G87" s="117"/>
      <x:c r="H87" s="117"/>
      <x:c r="I87" s="117"/>
      <x:c r="J87" s="117"/>
      <x:c r="K87" s="117"/>
      <x:c r="L87" s="117"/>
      <x:c r="M87" s="118"/>
      <x:c r="N87" s="118"/>
      <x:c r="O87" s="118"/>
      <x:c r="P87" s="118"/>
      <x:c r="Q87" s="118"/>
      <x:c r="R87" s="118"/>
      <x:c r="S87" s="118"/>
      <x:c r="T87" s="119"/>
      <x:c r="U87" s="109" t="str">
        <x:f>IF(OR(N87="",S87=""),"",(S87-N87)*24)</x:f>
      </x:c>
      <x:c r="V87" s="120"/>
      <x:c r="W87" s="121"/>
      <x:c r="X87" s="122" t="str">
        <x:f>IF(OR(V87="",V87=0),"",W87/V87)</x:f>
      </x:c>
      <x:c r="Y87" s="123"/>
      <x:c r="Z87" s="123"/>
      <x:c r="AA87" s="123"/>
      <x:c r="AB87" s="123"/>
      <x:c r="AC87" s="123"/>
      <x:c r="AD87" s="117"/>
      <x:c r="AE87" s="124"/>
    </x:row>
    <x:row r="88">
      <x:c r="A88" s="115"/>
      <x:c r="B88" s="116"/>
      <x:c r="C88" s="117"/>
      <x:c r="D88" s="117"/>
      <x:c r="E88" s="117"/>
      <x:c r="F88" s="117"/>
      <x:c r="G88" s="117"/>
      <x:c r="H88" s="117"/>
      <x:c r="I88" s="117"/>
      <x:c r="J88" s="117"/>
      <x:c r="K88" s="117"/>
      <x:c r="L88" s="117"/>
      <x:c r="M88" s="118"/>
      <x:c r="N88" s="118"/>
      <x:c r="O88" s="118"/>
      <x:c r="P88" s="118"/>
      <x:c r="Q88" s="118"/>
      <x:c r="R88" s="118"/>
      <x:c r="S88" s="118"/>
      <x:c r="T88" s="119"/>
      <x:c r="U88" s="109" t="str">
        <x:f>IF(OR(N88="",S88=""),"",(S88-N88)*24)</x:f>
      </x:c>
      <x:c r="V88" s="120"/>
      <x:c r="W88" s="121"/>
      <x:c r="X88" s="122" t="str">
        <x:f>IF(OR(V88="",V88=0),"",W88/V88)</x:f>
      </x:c>
      <x:c r="Y88" s="123"/>
      <x:c r="Z88" s="123"/>
      <x:c r="AA88" s="123"/>
      <x:c r="AB88" s="123"/>
      <x:c r="AC88" s="123"/>
      <x:c r="AD88" s="117"/>
      <x:c r="AE88" s="124"/>
    </x:row>
    <x:row r="89">
      <x:c r="A89" s="115"/>
      <x:c r="B89" s="116"/>
      <x:c r="C89" s="117"/>
      <x:c r="D89" s="117"/>
      <x:c r="E89" s="117"/>
      <x:c r="F89" s="117"/>
      <x:c r="G89" s="117"/>
      <x:c r="H89" s="117"/>
      <x:c r="I89" s="117"/>
      <x:c r="J89" s="117"/>
      <x:c r="K89" s="117"/>
      <x:c r="L89" s="117"/>
      <x:c r="M89" s="118"/>
      <x:c r="N89" s="118"/>
      <x:c r="O89" s="118"/>
      <x:c r="P89" s="118"/>
      <x:c r="Q89" s="118"/>
      <x:c r="R89" s="118"/>
      <x:c r="S89" s="118"/>
      <x:c r="T89" s="119"/>
      <x:c r="U89" s="109" t="str">
        <x:f>IF(OR(N89="",S89=""),"",(S89-N89)*24)</x:f>
      </x:c>
      <x:c r="V89" s="120"/>
      <x:c r="W89" s="121"/>
      <x:c r="X89" s="122" t="str">
        <x:f>IF(OR(V89="",V89=0),"",W89/V89)</x:f>
      </x:c>
      <x:c r="Y89" s="123"/>
      <x:c r="Z89" s="123"/>
      <x:c r="AA89" s="123"/>
      <x:c r="AB89" s="123"/>
      <x:c r="AC89" s="123"/>
      <x:c r="AD89" s="117"/>
      <x:c r="AE89" s="124"/>
    </x:row>
    <x:row r="90">
      <x:c r="A90" s="115"/>
      <x:c r="B90" s="116"/>
      <x:c r="C90" s="117"/>
      <x:c r="D90" s="117"/>
      <x:c r="E90" s="117"/>
      <x:c r="F90" s="117"/>
      <x:c r="G90" s="117"/>
      <x:c r="H90" s="117"/>
      <x:c r="I90" s="117"/>
      <x:c r="J90" s="117"/>
      <x:c r="K90" s="117"/>
      <x:c r="L90" s="117"/>
      <x:c r="M90" s="118"/>
      <x:c r="N90" s="118"/>
      <x:c r="O90" s="118"/>
      <x:c r="P90" s="118"/>
      <x:c r="Q90" s="118"/>
      <x:c r="R90" s="118"/>
      <x:c r="S90" s="118"/>
      <x:c r="T90" s="119"/>
      <x:c r="U90" s="109" t="str">
        <x:f>IF(OR(N90="",S90=""),"",(S90-N90)*24)</x:f>
      </x:c>
      <x:c r="V90" s="120"/>
      <x:c r="W90" s="121"/>
      <x:c r="X90" s="122" t="str">
        <x:f>IF(OR(V90="",V90=0),"",W90/V90)</x:f>
      </x:c>
      <x:c r="Y90" s="123"/>
      <x:c r="Z90" s="123"/>
      <x:c r="AA90" s="123"/>
      <x:c r="AB90" s="123"/>
      <x:c r="AC90" s="123"/>
      <x:c r="AD90" s="117"/>
      <x:c r="AE90" s="124"/>
    </x:row>
    <x:row r="91">
      <x:c r="A91" s="115"/>
      <x:c r="B91" s="116"/>
      <x:c r="C91" s="117"/>
      <x:c r="D91" s="117"/>
      <x:c r="E91" s="117"/>
      <x:c r="F91" s="117"/>
      <x:c r="G91" s="117"/>
      <x:c r="H91" s="117"/>
      <x:c r="I91" s="117"/>
      <x:c r="J91" s="117"/>
      <x:c r="K91" s="117"/>
      <x:c r="L91" s="117"/>
      <x:c r="M91" s="118"/>
      <x:c r="N91" s="118"/>
      <x:c r="O91" s="118"/>
      <x:c r="P91" s="118"/>
      <x:c r="Q91" s="118"/>
      <x:c r="R91" s="118"/>
      <x:c r="S91" s="118"/>
      <x:c r="T91" s="119"/>
      <x:c r="U91" s="109" t="str">
        <x:f>IF(OR(N91="",S91=""),"",(S91-N91)*24)</x:f>
      </x:c>
      <x:c r="V91" s="120"/>
      <x:c r="W91" s="121"/>
      <x:c r="X91" s="122" t="str">
        <x:f>IF(OR(V91="",V91=0),"",W91/V91)</x:f>
      </x:c>
      <x:c r="Y91" s="123"/>
      <x:c r="Z91" s="123"/>
      <x:c r="AA91" s="123"/>
      <x:c r="AB91" s="123"/>
      <x:c r="AC91" s="123"/>
      <x:c r="AD91" s="117"/>
      <x:c r="AE91" s="124"/>
    </x:row>
    <x:row r="92">
      <x:c r="A92" s="115"/>
      <x:c r="B92" s="116"/>
      <x:c r="C92" s="117"/>
      <x:c r="D92" s="117"/>
      <x:c r="E92" s="117"/>
      <x:c r="F92" s="117"/>
      <x:c r="G92" s="117"/>
      <x:c r="H92" s="117"/>
      <x:c r="I92" s="117"/>
      <x:c r="J92" s="117"/>
      <x:c r="K92" s="117"/>
      <x:c r="L92" s="117"/>
      <x:c r="M92" s="118"/>
      <x:c r="N92" s="118"/>
      <x:c r="O92" s="118"/>
      <x:c r="P92" s="118"/>
      <x:c r="Q92" s="118"/>
      <x:c r="R92" s="118"/>
      <x:c r="S92" s="118"/>
      <x:c r="T92" s="119"/>
      <x:c r="U92" s="109" t="str">
        <x:f>IF(OR(N92="",S92=""),"",(S92-N92)*24)</x:f>
      </x:c>
      <x:c r="V92" s="120"/>
      <x:c r="W92" s="121"/>
      <x:c r="X92" s="122" t="str">
        <x:f>IF(OR(V92="",V92=0),"",W92/V92)</x:f>
      </x:c>
      <x:c r="Y92" s="123"/>
      <x:c r="Z92" s="123"/>
      <x:c r="AA92" s="123"/>
      <x:c r="AB92" s="123"/>
      <x:c r="AC92" s="123"/>
      <x:c r="AD92" s="117"/>
      <x:c r="AE92" s="124"/>
    </x:row>
    <x:row r="93">
      <x:c r="A93" s="115"/>
      <x:c r="B93" s="116"/>
      <x:c r="C93" s="117"/>
      <x:c r="D93" s="117"/>
      <x:c r="E93" s="117"/>
      <x:c r="F93" s="117"/>
      <x:c r="G93" s="117"/>
      <x:c r="H93" s="117"/>
      <x:c r="I93" s="117"/>
      <x:c r="J93" s="117"/>
      <x:c r="K93" s="117"/>
      <x:c r="L93" s="117"/>
      <x:c r="M93" s="118"/>
      <x:c r="N93" s="118"/>
      <x:c r="O93" s="118"/>
      <x:c r="P93" s="118"/>
      <x:c r="Q93" s="118"/>
      <x:c r="R93" s="118"/>
      <x:c r="S93" s="118"/>
      <x:c r="T93" s="119"/>
      <x:c r="U93" s="109" t="str">
        <x:f>IF(OR(N93="",S93=""),"",(S93-N93)*24)</x:f>
      </x:c>
      <x:c r="V93" s="120"/>
      <x:c r="W93" s="121"/>
      <x:c r="X93" s="122" t="str">
        <x:f>IF(OR(V93="",V93=0),"",W93/V93)</x:f>
      </x:c>
      <x:c r="Y93" s="123"/>
      <x:c r="Z93" s="123"/>
      <x:c r="AA93" s="123"/>
      <x:c r="AB93" s="123"/>
      <x:c r="AC93" s="123"/>
      <x:c r="AD93" s="117"/>
      <x:c r="AE93" s="124"/>
    </x:row>
    <x:row r="94">
      <x:c r="A94" s="115"/>
      <x:c r="B94" s="116"/>
      <x:c r="C94" s="117"/>
      <x:c r="D94" s="117"/>
      <x:c r="E94" s="117"/>
      <x:c r="F94" s="117"/>
      <x:c r="G94" s="117"/>
      <x:c r="H94" s="117"/>
      <x:c r="I94" s="117"/>
      <x:c r="J94" s="117"/>
      <x:c r="K94" s="117"/>
      <x:c r="L94" s="117"/>
      <x:c r="M94" s="118"/>
      <x:c r="N94" s="118"/>
      <x:c r="O94" s="118"/>
      <x:c r="P94" s="118"/>
      <x:c r="Q94" s="118"/>
      <x:c r="R94" s="118"/>
      <x:c r="S94" s="118"/>
      <x:c r="T94" s="119"/>
      <x:c r="U94" s="109" t="str">
        <x:f>IF(OR(N94="",S94=""),"",(S94-N94)*24)</x:f>
      </x:c>
      <x:c r="V94" s="120"/>
      <x:c r="W94" s="121"/>
      <x:c r="X94" s="122" t="str">
        <x:f>IF(OR(V94="",V94=0),"",W94/V94)</x:f>
      </x:c>
      <x:c r="Y94" s="123"/>
      <x:c r="Z94" s="123"/>
      <x:c r="AA94" s="123"/>
      <x:c r="AB94" s="123"/>
      <x:c r="AC94" s="123"/>
      <x:c r="AD94" s="117"/>
      <x:c r="AE94" s="124"/>
    </x:row>
    <x:row r="95">
      <x:c r="A95" s="115"/>
      <x:c r="B95" s="116"/>
      <x:c r="C95" s="117"/>
      <x:c r="D95" s="117"/>
      <x:c r="E95" s="117"/>
      <x:c r="F95" s="117"/>
      <x:c r="G95" s="117"/>
      <x:c r="H95" s="117"/>
      <x:c r="I95" s="117"/>
      <x:c r="J95" s="117"/>
      <x:c r="K95" s="117"/>
      <x:c r="L95" s="117"/>
      <x:c r="M95" s="118"/>
      <x:c r="N95" s="118"/>
      <x:c r="O95" s="118"/>
      <x:c r="P95" s="118"/>
      <x:c r="Q95" s="118"/>
      <x:c r="R95" s="118"/>
      <x:c r="S95" s="118"/>
      <x:c r="T95" s="119"/>
      <x:c r="U95" s="109" t="str">
        <x:f>IF(OR(N95="",S95=""),"",(S95-N95)*24)</x:f>
      </x:c>
      <x:c r="V95" s="120"/>
      <x:c r="W95" s="121"/>
      <x:c r="X95" s="122" t="str">
        <x:f>IF(OR(V95="",V95=0),"",W95/V95)</x:f>
      </x:c>
      <x:c r="Y95" s="123"/>
      <x:c r="Z95" s="123"/>
      <x:c r="AA95" s="123"/>
      <x:c r="AB95" s="123"/>
      <x:c r="AC95" s="123"/>
      <x:c r="AD95" s="117"/>
      <x:c r="AE95" s="124"/>
    </x:row>
    <x:row r="96">
      <x:c r="A96" s="115"/>
      <x:c r="B96" s="116"/>
      <x:c r="C96" s="117"/>
      <x:c r="D96" s="117"/>
      <x:c r="E96" s="117"/>
      <x:c r="F96" s="117"/>
      <x:c r="G96" s="117"/>
      <x:c r="H96" s="117"/>
      <x:c r="I96" s="117"/>
      <x:c r="J96" s="117"/>
      <x:c r="K96" s="117"/>
      <x:c r="L96" s="117"/>
      <x:c r="M96" s="118"/>
      <x:c r="N96" s="118"/>
      <x:c r="O96" s="118"/>
      <x:c r="P96" s="118"/>
      <x:c r="Q96" s="118"/>
      <x:c r="R96" s="118"/>
      <x:c r="S96" s="118"/>
      <x:c r="T96" s="119"/>
      <x:c r="U96" s="109" t="str">
        <x:f>IF(OR(N96="",S96=""),"",(S96-N96)*24)</x:f>
      </x:c>
      <x:c r="V96" s="120"/>
      <x:c r="W96" s="121"/>
      <x:c r="X96" s="122" t="str">
        <x:f>IF(OR(V96="",V96=0),"",W96/V96)</x:f>
      </x:c>
      <x:c r="Y96" s="123"/>
      <x:c r="Z96" s="123"/>
      <x:c r="AA96" s="123"/>
      <x:c r="AB96" s="123"/>
      <x:c r="AC96" s="123"/>
      <x:c r="AD96" s="117"/>
      <x:c r="AE96" s="124"/>
    </x:row>
    <x:row r="97">
      <x:c r="A97" s="115"/>
      <x:c r="B97" s="116"/>
      <x:c r="C97" s="117"/>
      <x:c r="D97" s="117"/>
      <x:c r="E97" s="117"/>
      <x:c r="F97" s="117"/>
      <x:c r="G97" s="117"/>
      <x:c r="H97" s="117"/>
      <x:c r="I97" s="117"/>
      <x:c r="J97" s="117"/>
      <x:c r="K97" s="117"/>
      <x:c r="L97" s="117"/>
      <x:c r="M97" s="118"/>
      <x:c r="N97" s="118"/>
      <x:c r="O97" s="118"/>
      <x:c r="P97" s="118"/>
      <x:c r="Q97" s="118"/>
      <x:c r="R97" s="118"/>
      <x:c r="S97" s="118"/>
      <x:c r="T97" s="119"/>
      <x:c r="U97" s="109" t="str">
        <x:f>IF(OR(N97="",S97=""),"",(S97-N97)*24)</x:f>
      </x:c>
      <x:c r="V97" s="120"/>
      <x:c r="W97" s="121"/>
      <x:c r="X97" s="122" t="str">
        <x:f>IF(OR(V97="",V97=0),"",W97/V97)</x:f>
      </x:c>
      <x:c r="Y97" s="123"/>
      <x:c r="Z97" s="123"/>
      <x:c r="AA97" s="123"/>
      <x:c r="AB97" s="123"/>
      <x:c r="AC97" s="123"/>
      <x:c r="AD97" s="117"/>
      <x:c r="AE97" s="124"/>
    </x:row>
    <x:row r="98">
      <x:c r="A98" s="115"/>
      <x:c r="B98" s="116"/>
      <x:c r="C98" s="117"/>
      <x:c r="D98" s="117"/>
      <x:c r="E98" s="117"/>
      <x:c r="F98" s="117"/>
      <x:c r="G98" s="117"/>
      <x:c r="H98" s="117"/>
      <x:c r="I98" s="117"/>
      <x:c r="J98" s="117"/>
      <x:c r="K98" s="117"/>
      <x:c r="L98" s="117"/>
      <x:c r="M98" s="118"/>
      <x:c r="N98" s="118"/>
      <x:c r="O98" s="118"/>
      <x:c r="P98" s="118"/>
      <x:c r="Q98" s="118"/>
      <x:c r="R98" s="118"/>
      <x:c r="S98" s="118"/>
      <x:c r="T98" s="119"/>
      <x:c r="U98" s="109" t="str">
        <x:f>IF(OR(N98="",S98=""),"",(S98-N98)*24)</x:f>
      </x:c>
      <x:c r="V98" s="120"/>
      <x:c r="W98" s="121"/>
      <x:c r="X98" s="122" t="str">
        <x:f>IF(OR(V98="",V98=0),"",W98/V98)</x:f>
      </x:c>
      <x:c r="Y98" s="123"/>
      <x:c r="Z98" s="123"/>
      <x:c r="AA98" s="123"/>
      <x:c r="AB98" s="123"/>
      <x:c r="AC98" s="123"/>
      <x:c r="AD98" s="117"/>
      <x:c r="AE98" s="124"/>
    </x:row>
    <x:row r="99">
      <x:c r="A99" s="115"/>
      <x:c r="B99" s="116"/>
      <x:c r="C99" s="117"/>
      <x:c r="D99" s="117"/>
      <x:c r="E99" s="117"/>
      <x:c r="F99" s="117"/>
      <x:c r="G99" s="117"/>
      <x:c r="H99" s="117"/>
      <x:c r="I99" s="117"/>
      <x:c r="J99" s="117"/>
      <x:c r="K99" s="117"/>
      <x:c r="L99" s="117"/>
      <x:c r="M99" s="118"/>
      <x:c r="N99" s="118"/>
      <x:c r="O99" s="118"/>
      <x:c r="P99" s="118"/>
      <x:c r="Q99" s="118"/>
      <x:c r="R99" s="118"/>
      <x:c r="S99" s="118"/>
      <x:c r="T99" s="119"/>
      <x:c r="U99" s="109" t="str">
        <x:f>IF(OR(N99="",S99=""),"",(S99-N99)*24)</x:f>
      </x:c>
      <x:c r="V99" s="120"/>
      <x:c r="W99" s="121"/>
      <x:c r="X99" s="122" t="str">
        <x:f>IF(OR(V99="",V99=0),"",W99/V99)</x:f>
      </x:c>
      <x:c r="Y99" s="123"/>
      <x:c r="Z99" s="123"/>
      <x:c r="AA99" s="123"/>
      <x:c r="AB99" s="123"/>
      <x:c r="AC99" s="123"/>
      <x:c r="AD99" s="117"/>
      <x:c r="AE99" s="124"/>
    </x:row>
    <x:row r="100">
      <x:c r="A100" s="115"/>
      <x:c r="B100" s="116"/>
      <x:c r="C100" s="117"/>
      <x:c r="D100" s="117"/>
      <x:c r="E100" s="117"/>
      <x:c r="F100" s="117"/>
      <x:c r="G100" s="117"/>
      <x:c r="H100" s="117"/>
      <x:c r="I100" s="117"/>
      <x:c r="J100" s="117"/>
      <x:c r="K100" s="117"/>
      <x:c r="L100" s="117"/>
      <x:c r="M100" s="118"/>
      <x:c r="N100" s="118"/>
      <x:c r="O100" s="118"/>
      <x:c r="P100" s="118"/>
      <x:c r="Q100" s="118"/>
      <x:c r="R100" s="118"/>
      <x:c r="S100" s="118"/>
      <x:c r="T100" s="119"/>
      <x:c r="U100" s="109" t="str">
        <x:f>IF(OR(N100="",S100=""),"",(S100-N100)*24)</x:f>
      </x:c>
      <x:c r="V100" s="120"/>
      <x:c r="W100" s="121"/>
      <x:c r="X100" s="122" t="str">
        <x:f>IF(OR(V100="",V100=0),"",W100/V100)</x:f>
      </x:c>
      <x:c r="Y100" s="123"/>
      <x:c r="Z100" s="123"/>
      <x:c r="AA100" s="123"/>
      <x:c r="AB100" s="123"/>
      <x:c r="AC100" s="123"/>
      <x:c r="AD100" s="117"/>
      <x:c r="AE100" s="124"/>
    </x:row>
    <x:row r="101">
      <x:c r="A101" s="115"/>
      <x:c r="B101" s="116"/>
      <x:c r="C101" s="117"/>
      <x:c r="D101" s="117"/>
      <x:c r="E101" s="117"/>
      <x:c r="F101" s="117"/>
      <x:c r="G101" s="117"/>
      <x:c r="H101" s="117"/>
      <x:c r="I101" s="117"/>
      <x:c r="J101" s="117"/>
      <x:c r="K101" s="117"/>
      <x:c r="L101" s="117"/>
      <x:c r="M101" s="118"/>
      <x:c r="N101" s="118"/>
      <x:c r="O101" s="118"/>
      <x:c r="P101" s="118"/>
      <x:c r="Q101" s="118"/>
      <x:c r="R101" s="118"/>
      <x:c r="S101" s="118"/>
      <x:c r="T101" s="119"/>
      <x:c r="U101" s="109" t="str">
        <x:f>IF(OR(N101="",S101=""),"",(S101-N101)*24)</x:f>
      </x:c>
      <x:c r="V101" s="120"/>
      <x:c r="W101" s="121"/>
      <x:c r="X101" s="122" t="str">
        <x:f>IF(OR(V101="",V101=0),"",W101/V101)</x:f>
      </x:c>
      <x:c r="Y101" s="123"/>
      <x:c r="Z101" s="123"/>
      <x:c r="AA101" s="123"/>
      <x:c r="AB101" s="123"/>
      <x:c r="AC101" s="123"/>
      <x:c r="AD101" s="117"/>
      <x:c r="AE101" s="124"/>
    </x:row>
    <x:row r="102">
      <x:c r="A102" s="115"/>
      <x:c r="B102" s="116"/>
      <x:c r="C102" s="117"/>
      <x:c r="D102" s="117"/>
      <x:c r="E102" s="117"/>
      <x:c r="F102" s="117"/>
      <x:c r="G102" s="117"/>
      <x:c r="H102" s="117"/>
      <x:c r="I102" s="117"/>
      <x:c r="J102" s="117"/>
      <x:c r="K102" s="117"/>
      <x:c r="L102" s="117"/>
      <x:c r="M102" s="118"/>
      <x:c r="N102" s="118"/>
      <x:c r="O102" s="118"/>
      <x:c r="P102" s="118"/>
      <x:c r="Q102" s="118"/>
      <x:c r="R102" s="118"/>
      <x:c r="S102" s="118"/>
      <x:c r="T102" s="119"/>
      <x:c r="U102" s="109" t="str">
        <x:f>IF(OR(N102="",S102=""),"",(S102-N102)*24)</x:f>
      </x:c>
      <x:c r="V102" s="120"/>
      <x:c r="W102" s="121"/>
      <x:c r="X102" s="122" t="str">
        <x:f>IF(OR(V102="",V102=0),"",W102/V102)</x:f>
      </x:c>
      <x:c r="Y102" s="123"/>
      <x:c r="Z102" s="123"/>
      <x:c r="AA102" s="123"/>
      <x:c r="AB102" s="123"/>
      <x:c r="AC102" s="123"/>
      <x:c r="AD102" s="117"/>
      <x:c r="AE102" s="124"/>
    </x:row>
    <x:row r="103">
      <x:c r="A103" s="125"/>
      <x:c r="B103" s="126"/>
      <x:c r="C103" s="127"/>
      <x:c r="D103" s="127"/>
      <x:c r="E103" s="127"/>
      <x:c r="F103" s="127"/>
      <x:c r="G103" s="127"/>
      <x:c r="H103" s="127"/>
      <x:c r="I103" s="127"/>
      <x:c r="J103" s="127"/>
      <x:c r="K103" s="127"/>
      <x:c r="L103" s="127"/>
      <x:c r="M103" s="128"/>
      <x:c r="N103" s="128"/>
      <x:c r="O103" s="128"/>
      <x:c r="P103" s="128"/>
      <x:c r="Q103" s="128"/>
      <x:c r="R103" s="128"/>
      <x:c r="S103" s="128"/>
      <x:c r="T103" s="129"/>
      <x:c r="U103" s="109" t="str">
        <x:f>IF(OR(N103="",S103=""),"",(S103-N103)*24)</x:f>
      </x:c>
      <x:c r="V103" s="130"/>
      <x:c r="W103" s="131"/>
      <x:c r="X103" s="132" t="str">
        <x:f>IF(OR(V103="",V103=0),"",W103/V103)</x:f>
      </x:c>
      <x:c r="Y103" s="133"/>
      <x:c r="Z103" s="133"/>
      <x:c r="AA103" s="133"/>
      <x:c r="AB103" s="133"/>
      <x:c r="AC103" s="133"/>
      <x:c r="AD103" s="127"/>
      <x:c r="AE103" s="134"/>
    </x:row>
  </x:sheetData>
  <x:mergeCells>
    <x:mergeCell ref="A1:AE1"/>
    <x:mergeCell ref="A2:AE2"/>
  </x:mergeCells>
  <x:conditionalFormatting sqref="L4:L103">
    <x:cfRule type="containsText" dxfId="0" priority="1" operator="containsText" text="Blocked"/>
  </x:conditionalFormatting>
  <x:conditionalFormatting sqref="T4:T103">
    <x:cfRule type="containsText" dxfId="1" priority="2" operator="containsText" text="Accepted Done"/>
    <x:cfRule type="containsText" dxfId="2" priority="3" operator="containsText" text="Failed"/>
  </x:conditionalFormatting>
  <x:dataValidations count="10">
    <x:dataValidation type="list" sqref="C4:C103">
      <x:formula1>'Setup &amp; Lists'!$B$16:$B$21</x:formula1>
    </x:dataValidation>
    <x:dataValidation type="list" sqref="D4:D103">
      <x:formula1>'Setup &amp; Lists'!$C$16:$C$19</x:formula1>
    </x:dataValidation>
    <x:dataValidation type="list" sqref="F4:F103">
      <x:formula1>'Setup &amp; Lists'!$D$16:$D$18</x:formula1>
    </x:dataValidation>
    <x:dataValidation type="list" sqref="G4:G103">
      <x:formula1>'Setup &amp; Lists'!$E$16:$E$18</x:formula1>
    </x:dataValidation>
    <x:dataValidation type="list" sqref="H4:H103">
      <x:formula1>'Setup &amp; Lists'!$F$16:$F$19</x:formula1>
    </x:dataValidation>
    <x:dataValidation type="list" sqref="I4:I103">
      <x:formula1>'Setup &amp; Lists'!$G$16:$G$18</x:formula1>
    </x:dataValidation>
    <x:dataValidation type="list" sqref="J4:K103">
      <x:formula1>'Setup &amp; Lists'!$A$16:$A$20</x:formula1>
    </x:dataValidation>
    <x:dataValidation type="list" sqref="L4:L103">
      <x:formula1>'Setup &amp; Lists'!$H$16:$H$24</x:formula1>
    </x:dataValidation>
    <x:dataValidation type="list" sqref="T4:T103">
      <x:formula1>'Setup &amp; Lists'!$I$16:$I$22</x:formula1>
    </x:dataValidation>
    <x:dataValidation type="list" sqref="AA4:AA103">
      <x:formula1>'Setup &amp; Lists'!$K$16:$K$18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eca988ffcf44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2" hidden="0" customWidth="1"/>
    <x:col min="5" max="5" width="20" hidden="0" customWidth="1"/>
    <x:col min="6" max="6" width="20" hidden="0" customWidth="1"/>
    <x:col min="7" max="7" width="12" hidden="0" customWidth="1"/>
    <x:col min="8" max="8" width="12" hidden="0" customWidth="1"/>
    <x:col min="9" max="9" width="44" hidden="0" customWidth="1"/>
  </x:cols>
  <x:sheetData>
    <x:row r="1" ht="34" customHeight="1">
      <x:c r="A1" s="93" t="str">
        <x:v>HUMAN TIME LOG</x:v>
      </x:c>
      <x:c r="B1" s="93" t="str">
        <x:v>HUMAN TIME LOG</x:v>
      </x:c>
      <x:c r="C1" s="93" t="str">
        <x:v>HUMAN TIME LOG</x:v>
      </x:c>
      <x:c r="D1" s="93" t="str">
        <x:v>HUMAN TIME LOG</x:v>
      </x:c>
      <x:c r="E1" s="93" t="str">
        <x:v>HUMAN TIME LOG</x:v>
      </x:c>
      <x:c r="F1" s="93" t="str">
        <x:v>HUMAN TIME LOG</x:v>
      </x:c>
      <x:c r="G1" s="93" t="str">
        <x:v>HUMAN TIME LOG</x:v>
      </x:c>
      <x:c r="H1" s="93" t="str">
        <x:v>HUMAN TIME LOG</x:v>
      </x:c>
      <x:c r="I1" s="93" t="str">
        <x:v>HUMAN TIME LOG</x:v>
      </x:c>
    </x:row>
    <x:row r="2" ht="30" customHeight="1">
      <x:c r="A2" s="95" t="str">
        <x:v>Ghi từng block làm việc chủ động. Start/End là thời gian thực tế; có thể làm tròn 5–15 phút.</x:v>
      </x:c>
      <x:c r="B2" s="95" t="str">
        <x:v>Ghi từng block làm việc chủ động. Start/End là thời gian thực tế; có thể làm tròn 5–15 phút.</x:v>
      </x:c>
      <x:c r="C2" s="95" t="str">
        <x:v>Ghi từng block làm việc chủ động. Start/End là thời gian thực tế; có thể làm tròn 5–15 phút.</x:v>
      </x:c>
      <x:c r="D2" s="95" t="str">
        <x:v>Ghi từng block làm việc chủ động. Start/End là thời gian thực tế; có thể làm tròn 5–15 phút.</x:v>
      </x:c>
      <x:c r="E2" s="95" t="str">
        <x:v>Ghi từng block làm việc chủ động. Start/End là thời gian thực tế; có thể làm tròn 5–15 phút.</x:v>
      </x:c>
      <x:c r="F2" s="95" t="str">
        <x:v>Ghi từng block làm việc chủ động. Start/End là thời gian thực tế; có thể làm tròn 5–15 phút.</x:v>
      </x:c>
      <x:c r="G2" s="95" t="str">
        <x:v>Ghi từng block làm việc chủ động. Start/End là thời gian thực tế; có thể làm tròn 5–15 phút.</x:v>
      </x:c>
      <x:c r="H2" s="95" t="str">
        <x:v>Ghi từng block làm việc chủ động. Start/End là thời gian thực tế; có thể làm tròn 5–15 phút.</x:v>
      </x:c>
      <x:c r="I2" s="95" t="str">
        <x:v>Ghi từng block làm việc chủ động. Start/End là thời gian thực tế; có thể làm tròn 5–15 phút.</x:v>
      </x:c>
    </x:row>
    <x:row r="3" ht="36" customHeight="1">
      <x:c r="A3" s="96" t="str">
        <x:v>Work Date</x:v>
      </x:c>
      <x:c r="B3" s="96" t="str">
        <x:v>Member</x:v>
      </x:c>
      <x:c r="C3" s="96" t="str">
        <x:v>Story ID</x:v>
      </x:c>
      <x:c r="D3" s="96" t="str">
        <x:v>Activity</x:v>
      </x:c>
      <x:c r="E3" s="96" t="str">
        <x:v>Start Time</x:v>
      </x:c>
      <x:c r="F3" s="96" t="str">
        <x:v>End Time</x:v>
      </x:c>
      <x:c r="G3" s="96" t="str">
        <x:v>Minutes</x:v>
      </x:c>
      <x:c r="H3" s="96" t="str">
        <x:v>Hours</x:v>
      </x:c>
      <x:c r="I3" s="96" t="str">
        <x:v>Notes</x:v>
      </x:c>
    </x:row>
    <x:row r="4">
      <x:c r="A4" s="135"/>
      <x:c r="B4" s="106"/>
      <x:c r="C4" s="106"/>
      <x:c r="D4" s="106"/>
      <x:c r="E4" s="107"/>
      <x:c r="F4" s="136"/>
      <x:c r="G4" s="137" t="str">
        <x:f>IF(OR(E4="",F4=""),"",(F4-E4)*1440)</x:f>
      </x:c>
      <x:c r="H4" s="138" t="str">
        <x:f>IF(G4="","",G4/60)</x:f>
      </x:c>
      <x:c r="I4" s="97"/>
    </x:row>
    <x:row r="5">
      <x:c r="A5" s="139"/>
      <x:c r="B5" s="117"/>
      <x:c r="C5" s="117"/>
      <x:c r="D5" s="117"/>
      <x:c r="E5" s="118"/>
      <x:c r="F5" s="140"/>
      <x:c r="G5" s="137" t="str">
        <x:f>IF(OR(E5="",F5=""),"",(F5-E5)*1440)</x:f>
      </x:c>
      <x:c r="H5" s="138" t="str">
        <x:f>IF(G5="","",G5/60)</x:f>
      </x:c>
      <x:c r="I5" s="141"/>
    </x:row>
    <x:row r="6">
      <x:c r="A6" s="139"/>
      <x:c r="B6" s="117"/>
      <x:c r="C6" s="117"/>
      <x:c r="D6" s="117"/>
      <x:c r="E6" s="118"/>
      <x:c r="F6" s="140"/>
      <x:c r="G6" s="137" t="str">
        <x:f>IF(OR(E6="",F6=""),"",(F6-E6)*1440)</x:f>
      </x:c>
      <x:c r="H6" s="138" t="str">
        <x:f>IF(G6="","",G6/60)</x:f>
      </x:c>
      <x:c r="I6" s="141"/>
    </x:row>
    <x:row r="7">
      <x:c r="A7" s="139"/>
      <x:c r="B7" s="117"/>
      <x:c r="C7" s="117"/>
      <x:c r="D7" s="117"/>
      <x:c r="E7" s="118"/>
      <x:c r="F7" s="140"/>
      <x:c r="G7" s="137" t="str">
        <x:f>IF(OR(E7="",F7=""),"",(F7-E7)*1440)</x:f>
      </x:c>
      <x:c r="H7" s="138" t="str">
        <x:f>IF(G7="","",G7/60)</x:f>
      </x:c>
      <x:c r="I7" s="141"/>
    </x:row>
    <x:row r="8">
      <x:c r="A8" s="139"/>
      <x:c r="B8" s="117"/>
      <x:c r="C8" s="117"/>
      <x:c r="D8" s="117"/>
      <x:c r="E8" s="118"/>
      <x:c r="F8" s="140"/>
      <x:c r="G8" s="137" t="str">
        <x:f>IF(OR(E8="",F8=""),"",(F8-E8)*1440)</x:f>
      </x:c>
      <x:c r="H8" s="138" t="str">
        <x:f>IF(G8="","",G8/60)</x:f>
      </x:c>
      <x:c r="I8" s="141"/>
    </x:row>
    <x:row r="9">
      <x:c r="A9" s="139"/>
      <x:c r="B9" s="117"/>
      <x:c r="C9" s="117"/>
      <x:c r="D9" s="117"/>
      <x:c r="E9" s="118"/>
      <x:c r="F9" s="140"/>
      <x:c r="G9" s="137" t="str">
        <x:f>IF(OR(E9="",F9=""),"",(F9-E9)*1440)</x:f>
      </x:c>
      <x:c r="H9" s="138" t="str">
        <x:f>IF(G9="","",G9/60)</x:f>
      </x:c>
      <x:c r="I9" s="141"/>
    </x:row>
    <x:row r="10">
      <x:c r="A10" s="139"/>
      <x:c r="B10" s="117"/>
      <x:c r="C10" s="117"/>
      <x:c r="D10" s="117"/>
      <x:c r="E10" s="118"/>
      <x:c r="F10" s="140"/>
      <x:c r="G10" s="137" t="str">
        <x:f>IF(OR(E10="",F10=""),"",(F10-E10)*1440)</x:f>
      </x:c>
      <x:c r="H10" s="138" t="str">
        <x:f>IF(G10="","",G10/60)</x:f>
      </x:c>
      <x:c r="I10" s="141"/>
    </x:row>
    <x:row r="11">
      <x:c r="A11" s="139"/>
      <x:c r="B11" s="117"/>
      <x:c r="C11" s="117"/>
      <x:c r="D11" s="117"/>
      <x:c r="E11" s="118"/>
      <x:c r="F11" s="140"/>
      <x:c r="G11" s="137" t="str">
        <x:f>IF(OR(E11="",F11=""),"",(F11-E11)*1440)</x:f>
      </x:c>
      <x:c r="H11" s="138" t="str">
        <x:f>IF(G11="","",G11/60)</x:f>
      </x:c>
      <x:c r="I11" s="141"/>
    </x:row>
    <x:row r="12">
      <x:c r="A12" s="139"/>
      <x:c r="B12" s="117"/>
      <x:c r="C12" s="117"/>
      <x:c r="D12" s="117"/>
      <x:c r="E12" s="118"/>
      <x:c r="F12" s="140"/>
      <x:c r="G12" s="137" t="str">
        <x:f>IF(OR(E12="",F12=""),"",(F12-E12)*1440)</x:f>
      </x:c>
      <x:c r="H12" s="138" t="str">
        <x:f>IF(G12="","",G12/60)</x:f>
      </x:c>
      <x:c r="I12" s="141"/>
    </x:row>
    <x:row r="13">
      <x:c r="A13" s="139"/>
      <x:c r="B13" s="117"/>
      <x:c r="C13" s="117"/>
      <x:c r="D13" s="117"/>
      <x:c r="E13" s="118"/>
      <x:c r="F13" s="140"/>
      <x:c r="G13" s="137" t="str">
        <x:f>IF(OR(E13="",F13=""),"",(F13-E13)*1440)</x:f>
      </x:c>
      <x:c r="H13" s="138" t="str">
        <x:f>IF(G13="","",G13/60)</x:f>
      </x:c>
      <x:c r="I13" s="141"/>
    </x:row>
    <x:row r="14">
      <x:c r="A14" s="139"/>
      <x:c r="B14" s="117"/>
      <x:c r="C14" s="117"/>
      <x:c r="D14" s="117"/>
      <x:c r="E14" s="118"/>
      <x:c r="F14" s="140"/>
      <x:c r="G14" s="137" t="str">
        <x:f>IF(OR(E14="",F14=""),"",(F14-E14)*1440)</x:f>
      </x:c>
      <x:c r="H14" s="138" t="str">
        <x:f>IF(G14="","",G14/60)</x:f>
      </x:c>
      <x:c r="I14" s="141"/>
    </x:row>
    <x:row r="15">
      <x:c r="A15" s="139"/>
      <x:c r="B15" s="117"/>
      <x:c r="C15" s="117"/>
      <x:c r="D15" s="117"/>
      <x:c r="E15" s="118"/>
      <x:c r="F15" s="140"/>
      <x:c r="G15" s="137" t="str">
        <x:f>IF(OR(E15="",F15=""),"",(F15-E15)*1440)</x:f>
      </x:c>
      <x:c r="H15" s="138" t="str">
        <x:f>IF(G15="","",G15/60)</x:f>
      </x:c>
      <x:c r="I15" s="141"/>
    </x:row>
    <x:row r="16">
      <x:c r="A16" s="139"/>
      <x:c r="B16" s="117"/>
      <x:c r="C16" s="117"/>
      <x:c r="D16" s="117"/>
      <x:c r="E16" s="118"/>
      <x:c r="F16" s="140"/>
      <x:c r="G16" s="137" t="str">
        <x:f>IF(OR(E16="",F16=""),"",(F16-E16)*1440)</x:f>
      </x:c>
      <x:c r="H16" s="138" t="str">
        <x:f>IF(G16="","",G16/60)</x:f>
      </x:c>
      <x:c r="I16" s="141"/>
    </x:row>
    <x:row r="17">
      <x:c r="A17" s="139"/>
      <x:c r="B17" s="117"/>
      <x:c r="C17" s="117"/>
      <x:c r="D17" s="117"/>
      <x:c r="E17" s="118"/>
      <x:c r="F17" s="140"/>
      <x:c r="G17" s="137" t="str">
        <x:f>IF(OR(E17="",F17=""),"",(F17-E17)*1440)</x:f>
      </x:c>
      <x:c r="H17" s="138" t="str">
        <x:f>IF(G17="","",G17/60)</x:f>
      </x:c>
      <x:c r="I17" s="141"/>
    </x:row>
    <x:row r="18">
      <x:c r="A18" s="139"/>
      <x:c r="B18" s="117"/>
      <x:c r="C18" s="117"/>
      <x:c r="D18" s="117"/>
      <x:c r="E18" s="118"/>
      <x:c r="F18" s="140"/>
      <x:c r="G18" s="137" t="str">
        <x:f>IF(OR(E18="",F18=""),"",(F18-E18)*1440)</x:f>
      </x:c>
      <x:c r="H18" s="138" t="str">
        <x:f>IF(G18="","",G18/60)</x:f>
      </x:c>
      <x:c r="I18" s="141"/>
    </x:row>
    <x:row r="19">
      <x:c r="A19" s="139"/>
      <x:c r="B19" s="117"/>
      <x:c r="C19" s="117"/>
      <x:c r="D19" s="117"/>
      <x:c r="E19" s="118"/>
      <x:c r="F19" s="140"/>
      <x:c r="G19" s="137" t="str">
        <x:f>IF(OR(E19="",F19=""),"",(F19-E19)*1440)</x:f>
      </x:c>
      <x:c r="H19" s="138" t="str">
        <x:f>IF(G19="","",G19/60)</x:f>
      </x:c>
      <x:c r="I19" s="141"/>
    </x:row>
    <x:row r="20">
      <x:c r="A20" s="139"/>
      <x:c r="B20" s="117"/>
      <x:c r="C20" s="117"/>
      <x:c r="D20" s="117"/>
      <x:c r="E20" s="118"/>
      <x:c r="F20" s="140"/>
      <x:c r="G20" s="137" t="str">
        <x:f>IF(OR(E20="",F20=""),"",(F20-E20)*1440)</x:f>
      </x:c>
      <x:c r="H20" s="138" t="str">
        <x:f>IF(G20="","",G20/60)</x:f>
      </x:c>
      <x:c r="I20" s="141"/>
    </x:row>
    <x:row r="21">
      <x:c r="A21" s="139"/>
      <x:c r="B21" s="117"/>
      <x:c r="C21" s="117"/>
      <x:c r="D21" s="117"/>
      <x:c r="E21" s="118"/>
      <x:c r="F21" s="140"/>
      <x:c r="G21" s="137" t="str">
        <x:f>IF(OR(E21="",F21=""),"",(F21-E21)*1440)</x:f>
      </x:c>
      <x:c r="H21" s="138" t="str">
        <x:f>IF(G21="","",G21/60)</x:f>
      </x:c>
      <x:c r="I21" s="141"/>
    </x:row>
    <x:row r="22">
      <x:c r="A22" s="139"/>
      <x:c r="B22" s="117"/>
      <x:c r="C22" s="117"/>
      <x:c r="D22" s="117"/>
      <x:c r="E22" s="118"/>
      <x:c r="F22" s="140"/>
      <x:c r="G22" s="137" t="str">
        <x:f>IF(OR(E22="",F22=""),"",(F22-E22)*1440)</x:f>
      </x:c>
      <x:c r="H22" s="138" t="str">
        <x:f>IF(G22="","",G22/60)</x:f>
      </x:c>
      <x:c r="I22" s="141"/>
    </x:row>
    <x:row r="23">
      <x:c r="A23" s="139"/>
      <x:c r="B23" s="117"/>
      <x:c r="C23" s="117"/>
      <x:c r="D23" s="117"/>
      <x:c r="E23" s="118"/>
      <x:c r="F23" s="140"/>
      <x:c r="G23" s="137" t="str">
        <x:f>IF(OR(E23="",F23=""),"",(F23-E23)*1440)</x:f>
      </x:c>
      <x:c r="H23" s="138" t="str">
        <x:f>IF(G23="","",G23/60)</x:f>
      </x:c>
      <x:c r="I23" s="141"/>
    </x:row>
    <x:row r="24">
      <x:c r="A24" s="139"/>
      <x:c r="B24" s="117"/>
      <x:c r="C24" s="117"/>
      <x:c r="D24" s="117"/>
      <x:c r="E24" s="118"/>
      <x:c r="F24" s="140"/>
      <x:c r="G24" s="137" t="str">
        <x:f>IF(OR(E24="",F24=""),"",(F24-E24)*1440)</x:f>
      </x:c>
      <x:c r="H24" s="138" t="str">
        <x:f>IF(G24="","",G24/60)</x:f>
      </x:c>
      <x:c r="I24" s="141"/>
    </x:row>
    <x:row r="25">
      <x:c r="A25" s="139"/>
      <x:c r="B25" s="117"/>
      <x:c r="C25" s="117"/>
      <x:c r="D25" s="117"/>
      <x:c r="E25" s="118"/>
      <x:c r="F25" s="140"/>
      <x:c r="G25" s="137" t="str">
        <x:f>IF(OR(E25="",F25=""),"",(F25-E25)*1440)</x:f>
      </x:c>
      <x:c r="H25" s="138" t="str">
        <x:f>IF(G25="","",G25/60)</x:f>
      </x:c>
      <x:c r="I25" s="141"/>
    </x:row>
    <x:row r="26">
      <x:c r="A26" s="139"/>
      <x:c r="B26" s="117"/>
      <x:c r="C26" s="117"/>
      <x:c r="D26" s="117"/>
      <x:c r="E26" s="118"/>
      <x:c r="F26" s="140"/>
      <x:c r="G26" s="137" t="str">
        <x:f>IF(OR(E26="",F26=""),"",(F26-E26)*1440)</x:f>
      </x:c>
      <x:c r="H26" s="138" t="str">
        <x:f>IF(G26="","",G26/60)</x:f>
      </x:c>
      <x:c r="I26" s="141"/>
    </x:row>
    <x:row r="27">
      <x:c r="A27" s="139"/>
      <x:c r="B27" s="117"/>
      <x:c r="C27" s="117"/>
      <x:c r="D27" s="117"/>
      <x:c r="E27" s="118"/>
      <x:c r="F27" s="140"/>
      <x:c r="G27" s="137" t="str">
        <x:f>IF(OR(E27="",F27=""),"",(F27-E27)*1440)</x:f>
      </x:c>
      <x:c r="H27" s="138" t="str">
        <x:f>IF(G27="","",G27/60)</x:f>
      </x:c>
      <x:c r="I27" s="141"/>
    </x:row>
    <x:row r="28">
      <x:c r="A28" s="139"/>
      <x:c r="B28" s="117"/>
      <x:c r="C28" s="117"/>
      <x:c r="D28" s="117"/>
      <x:c r="E28" s="118"/>
      <x:c r="F28" s="140"/>
      <x:c r="G28" s="137" t="str">
        <x:f>IF(OR(E28="",F28=""),"",(F28-E28)*1440)</x:f>
      </x:c>
      <x:c r="H28" s="138" t="str">
        <x:f>IF(G28="","",G28/60)</x:f>
      </x:c>
      <x:c r="I28" s="141"/>
    </x:row>
    <x:row r="29">
      <x:c r="A29" s="139"/>
      <x:c r="B29" s="117"/>
      <x:c r="C29" s="117"/>
      <x:c r="D29" s="117"/>
      <x:c r="E29" s="118"/>
      <x:c r="F29" s="140"/>
      <x:c r="G29" s="137" t="str">
        <x:f>IF(OR(E29="",F29=""),"",(F29-E29)*1440)</x:f>
      </x:c>
      <x:c r="H29" s="138" t="str">
        <x:f>IF(G29="","",G29/60)</x:f>
      </x:c>
      <x:c r="I29" s="141"/>
    </x:row>
    <x:row r="30">
      <x:c r="A30" s="139"/>
      <x:c r="B30" s="117"/>
      <x:c r="C30" s="117"/>
      <x:c r="D30" s="117"/>
      <x:c r="E30" s="118"/>
      <x:c r="F30" s="140"/>
      <x:c r="G30" s="137" t="str">
        <x:f>IF(OR(E30="",F30=""),"",(F30-E30)*1440)</x:f>
      </x:c>
      <x:c r="H30" s="138" t="str">
        <x:f>IF(G30="","",G30/60)</x:f>
      </x:c>
      <x:c r="I30" s="141"/>
    </x:row>
    <x:row r="31">
      <x:c r="A31" s="139"/>
      <x:c r="B31" s="117"/>
      <x:c r="C31" s="117"/>
      <x:c r="D31" s="117"/>
      <x:c r="E31" s="118"/>
      <x:c r="F31" s="140"/>
      <x:c r="G31" s="137" t="str">
        <x:f>IF(OR(E31="",F31=""),"",(F31-E31)*1440)</x:f>
      </x:c>
      <x:c r="H31" s="138" t="str">
        <x:f>IF(G31="","",G31/60)</x:f>
      </x:c>
      <x:c r="I31" s="141"/>
    </x:row>
    <x:row r="32">
      <x:c r="A32" s="139"/>
      <x:c r="B32" s="117"/>
      <x:c r="C32" s="117"/>
      <x:c r="D32" s="117"/>
      <x:c r="E32" s="118"/>
      <x:c r="F32" s="140"/>
      <x:c r="G32" s="137" t="str">
        <x:f>IF(OR(E32="",F32=""),"",(F32-E32)*1440)</x:f>
      </x:c>
      <x:c r="H32" s="138" t="str">
        <x:f>IF(G32="","",G32/60)</x:f>
      </x:c>
      <x:c r="I32" s="141"/>
    </x:row>
    <x:row r="33">
      <x:c r="A33" s="139"/>
      <x:c r="B33" s="117"/>
      <x:c r="C33" s="117"/>
      <x:c r="D33" s="117"/>
      <x:c r="E33" s="118"/>
      <x:c r="F33" s="140"/>
      <x:c r="G33" s="137" t="str">
        <x:f>IF(OR(E33="",F33=""),"",(F33-E33)*1440)</x:f>
      </x:c>
      <x:c r="H33" s="138" t="str">
        <x:f>IF(G33="","",G33/60)</x:f>
      </x:c>
      <x:c r="I33" s="141"/>
    </x:row>
    <x:row r="34">
      <x:c r="A34" s="139"/>
      <x:c r="B34" s="117"/>
      <x:c r="C34" s="117"/>
      <x:c r="D34" s="117"/>
      <x:c r="E34" s="118"/>
      <x:c r="F34" s="140"/>
      <x:c r="G34" s="137" t="str">
        <x:f>IF(OR(E34="",F34=""),"",(F34-E34)*1440)</x:f>
      </x:c>
      <x:c r="H34" s="138" t="str">
        <x:f>IF(G34="","",G34/60)</x:f>
      </x:c>
      <x:c r="I34" s="141"/>
    </x:row>
    <x:row r="35">
      <x:c r="A35" s="139"/>
      <x:c r="B35" s="117"/>
      <x:c r="C35" s="117"/>
      <x:c r="D35" s="117"/>
      <x:c r="E35" s="118"/>
      <x:c r="F35" s="140"/>
      <x:c r="G35" s="137" t="str">
        <x:f>IF(OR(E35="",F35=""),"",(F35-E35)*1440)</x:f>
      </x:c>
      <x:c r="H35" s="138" t="str">
        <x:f>IF(G35="","",G35/60)</x:f>
      </x:c>
      <x:c r="I35" s="141"/>
    </x:row>
    <x:row r="36">
      <x:c r="A36" s="139"/>
      <x:c r="B36" s="117"/>
      <x:c r="C36" s="117"/>
      <x:c r="D36" s="117"/>
      <x:c r="E36" s="118"/>
      <x:c r="F36" s="140"/>
      <x:c r="G36" s="137" t="str">
        <x:f>IF(OR(E36="",F36=""),"",(F36-E36)*1440)</x:f>
      </x:c>
      <x:c r="H36" s="138" t="str">
        <x:f>IF(G36="","",G36/60)</x:f>
      </x:c>
      <x:c r="I36" s="141"/>
    </x:row>
    <x:row r="37">
      <x:c r="A37" s="139"/>
      <x:c r="B37" s="117"/>
      <x:c r="C37" s="117"/>
      <x:c r="D37" s="117"/>
      <x:c r="E37" s="118"/>
      <x:c r="F37" s="140"/>
      <x:c r="G37" s="137" t="str">
        <x:f>IF(OR(E37="",F37=""),"",(F37-E37)*1440)</x:f>
      </x:c>
      <x:c r="H37" s="138" t="str">
        <x:f>IF(G37="","",G37/60)</x:f>
      </x:c>
      <x:c r="I37" s="141"/>
    </x:row>
    <x:row r="38">
      <x:c r="A38" s="139"/>
      <x:c r="B38" s="117"/>
      <x:c r="C38" s="117"/>
      <x:c r="D38" s="117"/>
      <x:c r="E38" s="118"/>
      <x:c r="F38" s="140"/>
      <x:c r="G38" s="137" t="str">
        <x:f>IF(OR(E38="",F38=""),"",(F38-E38)*1440)</x:f>
      </x:c>
      <x:c r="H38" s="138" t="str">
        <x:f>IF(G38="","",G38/60)</x:f>
      </x:c>
      <x:c r="I38" s="141"/>
    </x:row>
    <x:row r="39">
      <x:c r="A39" s="139"/>
      <x:c r="B39" s="117"/>
      <x:c r="C39" s="117"/>
      <x:c r="D39" s="117"/>
      <x:c r="E39" s="118"/>
      <x:c r="F39" s="140"/>
      <x:c r="G39" s="137" t="str">
        <x:f>IF(OR(E39="",F39=""),"",(F39-E39)*1440)</x:f>
      </x:c>
      <x:c r="H39" s="138" t="str">
        <x:f>IF(G39="","",G39/60)</x:f>
      </x:c>
      <x:c r="I39" s="141"/>
    </x:row>
    <x:row r="40">
      <x:c r="A40" s="139"/>
      <x:c r="B40" s="117"/>
      <x:c r="C40" s="117"/>
      <x:c r="D40" s="117"/>
      <x:c r="E40" s="118"/>
      <x:c r="F40" s="140"/>
      <x:c r="G40" s="137" t="str">
        <x:f>IF(OR(E40="",F40=""),"",(F40-E40)*1440)</x:f>
      </x:c>
      <x:c r="H40" s="138" t="str">
        <x:f>IF(G40="","",G40/60)</x:f>
      </x:c>
      <x:c r="I40" s="141"/>
    </x:row>
    <x:row r="41">
      <x:c r="A41" s="139"/>
      <x:c r="B41" s="117"/>
      <x:c r="C41" s="117"/>
      <x:c r="D41" s="117"/>
      <x:c r="E41" s="118"/>
      <x:c r="F41" s="140"/>
      <x:c r="G41" s="137" t="str">
        <x:f>IF(OR(E41="",F41=""),"",(F41-E41)*1440)</x:f>
      </x:c>
      <x:c r="H41" s="138" t="str">
        <x:f>IF(G41="","",G41/60)</x:f>
      </x:c>
      <x:c r="I41" s="141"/>
    </x:row>
    <x:row r="42">
      <x:c r="A42" s="139"/>
      <x:c r="B42" s="117"/>
      <x:c r="C42" s="117"/>
      <x:c r="D42" s="117"/>
      <x:c r="E42" s="118"/>
      <x:c r="F42" s="140"/>
      <x:c r="G42" s="137" t="str">
        <x:f>IF(OR(E42="",F42=""),"",(F42-E42)*1440)</x:f>
      </x:c>
      <x:c r="H42" s="138" t="str">
        <x:f>IF(G42="","",G42/60)</x:f>
      </x:c>
      <x:c r="I42" s="141"/>
    </x:row>
    <x:row r="43">
      <x:c r="A43" s="139"/>
      <x:c r="B43" s="117"/>
      <x:c r="C43" s="117"/>
      <x:c r="D43" s="117"/>
      <x:c r="E43" s="118"/>
      <x:c r="F43" s="140"/>
      <x:c r="G43" s="137" t="str">
        <x:f>IF(OR(E43="",F43=""),"",(F43-E43)*1440)</x:f>
      </x:c>
      <x:c r="H43" s="138" t="str">
        <x:f>IF(G43="","",G43/60)</x:f>
      </x:c>
      <x:c r="I43" s="141"/>
    </x:row>
    <x:row r="44">
      <x:c r="A44" s="139"/>
      <x:c r="B44" s="117"/>
      <x:c r="C44" s="117"/>
      <x:c r="D44" s="117"/>
      <x:c r="E44" s="118"/>
      <x:c r="F44" s="140"/>
      <x:c r="G44" s="137" t="str">
        <x:f>IF(OR(E44="",F44=""),"",(F44-E44)*1440)</x:f>
      </x:c>
      <x:c r="H44" s="138" t="str">
        <x:f>IF(G44="","",G44/60)</x:f>
      </x:c>
      <x:c r="I44" s="141"/>
    </x:row>
    <x:row r="45">
      <x:c r="A45" s="139"/>
      <x:c r="B45" s="117"/>
      <x:c r="C45" s="117"/>
      <x:c r="D45" s="117"/>
      <x:c r="E45" s="118"/>
      <x:c r="F45" s="140"/>
      <x:c r="G45" s="137" t="str">
        <x:f>IF(OR(E45="",F45=""),"",(F45-E45)*1440)</x:f>
      </x:c>
      <x:c r="H45" s="138" t="str">
        <x:f>IF(G45="","",G45/60)</x:f>
      </x:c>
      <x:c r="I45" s="141"/>
    </x:row>
    <x:row r="46">
      <x:c r="A46" s="139"/>
      <x:c r="B46" s="117"/>
      <x:c r="C46" s="117"/>
      <x:c r="D46" s="117"/>
      <x:c r="E46" s="118"/>
      <x:c r="F46" s="140"/>
      <x:c r="G46" s="137" t="str">
        <x:f>IF(OR(E46="",F46=""),"",(F46-E46)*1440)</x:f>
      </x:c>
      <x:c r="H46" s="138" t="str">
        <x:f>IF(G46="","",G46/60)</x:f>
      </x:c>
      <x:c r="I46" s="141"/>
    </x:row>
    <x:row r="47">
      <x:c r="A47" s="139"/>
      <x:c r="B47" s="117"/>
      <x:c r="C47" s="117"/>
      <x:c r="D47" s="117"/>
      <x:c r="E47" s="118"/>
      <x:c r="F47" s="140"/>
      <x:c r="G47" s="137" t="str">
        <x:f>IF(OR(E47="",F47=""),"",(F47-E47)*1440)</x:f>
      </x:c>
      <x:c r="H47" s="138" t="str">
        <x:f>IF(G47="","",G47/60)</x:f>
      </x:c>
      <x:c r="I47" s="141"/>
    </x:row>
    <x:row r="48">
      <x:c r="A48" s="139"/>
      <x:c r="B48" s="117"/>
      <x:c r="C48" s="117"/>
      <x:c r="D48" s="117"/>
      <x:c r="E48" s="118"/>
      <x:c r="F48" s="140"/>
      <x:c r="G48" s="137" t="str">
        <x:f>IF(OR(E48="",F48=""),"",(F48-E48)*1440)</x:f>
      </x:c>
      <x:c r="H48" s="138" t="str">
        <x:f>IF(G48="","",G48/60)</x:f>
      </x:c>
      <x:c r="I48" s="141"/>
    </x:row>
    <x:row r="49">
      <x:c r="A49" s="139"/>
      <x:c r="B49" s="117"/>
      <x:c r="C49" s="117"/>
      <x:c r="D49" s="117"/>
      <x:c r="E49" s="118"/>
      <x:c r="F49" s="140"/>
      <x:c r="G49" s="137" t="str">
        <x:f>IF(OR(E49="",F49=""),"",(F49-E49)*1440)</x:f>
      </x:c>
      <x:c r="H49" s="138" t="str">
        <x:f>IF(G49="","",G49/60)</x:f>
      </x:c>
      <x:c r="I49" s="141"/>
    </x:row>
    <x:row r="50">
      <x:c r="A50" s="139"/>
      <x:c r="B50" s="117"/>
      <x:c r="C50" s="117"/>
      <x:c r="D50" s="117"/>
      <x:c r="E50" s="118"/>
      <x:c r="F50" s="140"/>
      <x:c r="G50" s="137" t="str">
        <x:f>IF(OR(E50="",F50=""),"",(F50-E50)*1440)</x:f>
      </x:c>
      <x:c r="H50" s="138" t="str">
        <x:f>IF(G50="","",G50/60)</x:f>
      </x:c>
      <x:c r="I50" s="141"/>
    </x:row>
    <x:row r="51">
      <x:c r="A51" s="139"/>
      <x:c r="B51" s="117"/>
      <x:c r="C51" s="117"/>
      <x:c r="D51" s="117"/>
      <x:c r="E51" s="118"/>
      <x:c r="F51" s="140"/>
      <x:c r="G51" s="137" t="str">
        <x:f>IF(OR(E51="",F51=""),"",(F51-E51)*1440)</x:f>
      </x:c>
      <x:c r="H51" s="138" t="str">
        <x:f>IF(G51="","",G51/60)</x:f>
      </x:c>
      <x:c r="I51" s="141"/>
    </x:row>
    <x:row r="52">
      <x:c r="A52" s="139"/>
      <x:c r="B52" s="117"/>
      <x:c r="C52" s="117"/>
      <x:c r="D52" s="117"/>
      <x:c r="E52" s="118"/>
      <x:c r="F52" s="140"/>
      <x:c r="G52" s="137" t="str">
        <x:f>IF(OR(E52="",F52=""),"",(F52-E52)*1440)</x:f>
      </x:c>
      <x:c r="H52" s="138" t="str">
        <x:f>IF(G52="","",G52/60)</x:f>
      </x:c>
      <x:c r="I52" s="141"/>
    </x:row>
    <x:row r="53">
      <x:c r="A53" s="139"/>
      <x:c r="B53" s="117"/>
      <x:c r="C53" s="117"/>
      <x:c r="D53" s="117"/>
      <x:c r="E53" s="118"/>
      <x:c r="F53" s="140"/>
      <x:c r="G53" s="137" t="str">
        <x:f>IF(OR(E53="",F53=""),"",(F53-E53)*1440)</x:f>
      </x:c>
      <x:c r="H53" s="138" t="str">
        <x:f>IF(G53="","",G53/60)</x:f>
      </x:c>
      <x:c r="I53" s="141"/>
    </x:row>
    <x:row r="54">
      <x:c r="A54" s="139"/>
      <x:c r="B54" s="117"/>
      <x:c r="C54" s="117"/>
      <x:c r="D54" s="117"/>
      <x:c r="E54" s="118"/>
      <x:c r="F54" s="140"/>
      <x:c r="G54" s="137" t="str">
        <x:f>IF(OR(E54="",F54=""),"",(F54-E54)*1440)</x:f>
      </x:c>
      <x:c r="H54" s="138" t="str">
        <x:f>IF(G54="","",G54/60)</x:f>
      </x:c>
      <x:c r="I54" s="141"/>
    </x:row>
    <x:row r="55">
      <x:c r="A55" s="139"/>
      <x:c r="B55" s="117"/>
      <x:c r="C55" s="117"/>
      <x:c r="D55" s="117"/>
      <x:c r="E55" s="118"/>
      <x:c r="F55" s="140"/>
      <x:c r="G55" s="137" t="str">
        <x:f>IF(OR(E55="",F55=""),"",(F55-E55)*1440)</x:f>
      </x:c>
      <x:c r="H55" s="138" t="str">
        <x:f>IF(G55="","",G55/60)</x:f>
      </x:c>
      <x:c r="I55" s="141"/>
    </x:row>
    <x:row r="56">
      <x:c r="A56" s="139"/>
      <x:c r="B56" s="117"/>
      <x:c r="C56" s="117"/>
      <x:c r="D56" s="117"/>
      <x:c r="E56" s="118"/>
      <x:c r="F56" s="140"/>
      <x:c r="G56" s="137" t="str">
        <x:f>IF(OR(E56="",F56=""),"",(F56-E56)*1440)</x:f>
      </x:c>
      <x:c r="H56" s="138" t="str">
        <x:f>IF(G56="","",G56/60)</x:f>
      </x:c>
      <x:c r="I56" s="141"/>
    </x:row>
    <x:row r="57">
      <x:c r="A57" s="139"/>
      <x:c r="B57" s="117"/>
      <x:c r="C57" s="117"/>
      <x:c r="D57" s="117"/>
      <x:c r="E57" s="118"/>
      <x:c r="F57" s="140"/>
      <x:c r="G57" s="137" t="str">
        <x:f>IF(OR(E57="",F57=""),"",(F57-E57)*1440)</x:f>
      </x:c>
      <x:c r="H57" s="138" t="str">
        <x:f>IF(G57="","",G57/60)</x:f>
      </x:c>
      <x:c r="I57" s="141"/>
    </x:row>
    <x:row r="58">
      <x:c r="A58" s="139"/>
      <x:c r="B58" s="117"/>
      <x:c r="C58" s="117"/>
      <x:c r="D58" s="117"/>
      <x:c r="E58" s="118"/>
      <x:c r="F58" s="140"/>
      <x:c r="G58" s="137" t="str">
        <x:f>IF(OR(E58="",F58=""),"",(F58-E58)*1440)</x:f>
      </x:c>
      <x:c r="H58" s="138" t="str">
        <x:f>IF(G58="","",G58/60)</x:f>
      </x:c>
      <x:c r="I58" s="141"/>
    </x:row>
    <x:row r="59">
      <x:c r="A59" s="139"/>
      <x:c r="B59" s="117"/>
      <x:c r="C59" s="117"/>
      <x:c r="D59" s="117"/>
      <x:c r="E59" s="118"/>
      <x:c r="F59" s="140"/>
      <x:c r="G59" s="137" t="str">
        <x:f>IF(OR(E59="",F59=""),"",(F59-E59)*1440)</x:f>
      </x:c>
      <x:c r="H59" s="138" t="str">
        <x:f>IF(G59="","",G59/60)</x:f>
      </x:c>
      <x:c r="I59" s="141"/>
    </x:row>
    <x:row r="60">
      <x:c r="A60" s="139"/>
      <x:c r="B60" s="117"/>
      <x:c r="C60" s="117"/>
      <x:c r="D60" s="117"/>
      <x:c r="E60" s="118"/>
      <x:c r="F60" s="140"/>
      <x:c r="G60" s="137" t="str">
        <x:f>IF(OR(E60="",F60=""),"",(F60-E60)*1440)</x:f>
      </x:c>
      <x:c r="H60" s="138" t="str">
        <x:f>IF(G60="","",G60/60)</x:f>
      </x:c>
      <x:c r="I60" s="141"/>
    </x:row>
    <x:row r="61">
      <x:c r="A61" s="139"/>
      <x:c r="B61" s="117"/>
      <x:c r="C61" s="117"/>
      <x:c r="D61" s="117"/>
      <x:c r="E61" s="118"/>
      <x:c r="F61" s="140"/>
      <x:c r="G61" s="137" t="str">
        <x:f>IF(OR(E61="",F61=""),"",(F61-E61)*1440)</x:f>
      </x:c>
      <x:c r="H61" s="138" t="str">
        <x:f>IF(G61="","",G61/60)</x:f>
      </x:c>
      <x:c r="I61" s="141"/>
    </x:row>
    <x:row r="62">
      <x:c r="A62" s="139"/>
      <x:c r="B62" s="117"/>
      <x:c r="C62" s="117"/>
      <x:c r="D62" s="117"/>
      <x:c r="E62" s="118"/>
      <x:c r="F62" s="140"/>
      <x:c r="G62" s="137" t="str">
        <x:f>IF(OR(E62="",F62=""),"",(F62-E62)*1440)</x:f>
      </x:c>
      <x:c r="H62" s="138" t="str">
        <x:f>IF(G62="","",G62/60)</x:f>
      </x:c>
      <x:c r="I62" s="141"/>
    </x:row>
    <x:row r="63">
      <x:c r="A63" s="139"/>
      <x:c r="B63" s="117"/>
      <x:c r="C63" s="117"/>
      <x:c r="D63" s="117"/>
      <x:c r="E63" s="118"/>
      <x:c r="F63" s="140"/>
      <x:c r="G63" s="137" t="str">
        <x:f>IF(OR(E63="",F63=""),"",(F63-E63)*1440)</x:f>
      </x:c>
      <x:c r="H63" s="138" t="str">
        <x:f>IF(G63="","",G63/60)</x:f>
      </x:c>
      <x:c r="I63" s="141"/>
    </x:row>
    <x:row r="64">
      <x:c r="A64" s="139"/>
      <x:c r="B64" s="117"/>
      <x:c r="C64" s="117"/>
      <x:c r="D64" s="117"/>
      <x:c r="E64" s="118"/>
      <x:c r="F64" s="140"/>
      <x:c r="G64" s="137" t="str">
        <x:f>IF(OR(E64="",F64=""),"",(F64-E64)*1440)</x:f>
      </x:c>
      <x:c r="H64" s="138" t="str">
        <x:f>IF(G64="","",G64/60)</x:f>
      </x:c>
      <x:c r="I64" s="141"/>
    </x:row>
    <x:row r="65">
      <x:c r="A65" s="139"/>
      <x:c r="B65" s="117"/>
      <x:c r="C65" s="117"/>
      <x:c r="D65" s="117"/>
      <x:c r="E65" s="118"/>
      <x:c r="F65" s="140"/>
      <x:c r="G65" s="137" t="str">
        <x:f>IF(OR(E65="",F65=""),"",(F65-E65)*1440)</x:f>
      </x:c>
      <x:c r="H65" s="138" t="str">
        <x:f>IF(G65="","",G65/60)</x:f>
      </x:c>
      <x:c r="I65" s="141"/>
    </x:row>
    <x:row r="66">
      <x:c r="A66" s="139"/>
      <x:c r="B66" s="117"/>
      <x:c r="C66" s="117"/>
      <x:c r="D66" s="117"/>
      <x:c r="E66" s="118"/>
      <x:c r="F66" s="140"/>
      <x:c r="G66" s="137" t="str">
        <x:f>IF(OR(E66="",F66=""),"",(F66-E66)*1440)</x:f>
      </x:c>
      <x:c r="H66" s="138" t="str">
        <x:f>IF(G66="","",G66/60)</x:f>
      </x:c>
      <x:c r="I66" s="141"/>
    </x:row>
    <x:row r="67">
      <x:c r="A67" s="139"/>
      <x:c r="B67" s="117"/>
      <x:c r="C67" s="117"/>
      <x:c r="D67" s="117"/>
      <x:c r="E67" s="118"/>
      <x:c r="F67" s="140"/>
      <x:c r="G67" s="137" t="str">
        <x:f>IF(OR(E67="",F67=""),"",(F67-E67)*1440)</x:f>
      </x:c>
      <x:c r="H67" s="138" t="str">
        <x:f>IF(G67="","",G67/60)</x:f>
      </x:c>
      <x:c r="I67" s="141"/>
    </x:row>
    <x:row r="68">
      <x:c r="A68" s="139"/>
      <x:c r="B68" s="117"/>
      <x:c r="C68" s="117"/>
      <x:c r="D68" s="117"/>
      <x:c r="E68" s="118"/>
      <x:c r="F68" s="140"/>
      <x:c r="G68" s="137" t="str">
        <x:f>IF(OR(E68="",F68=""),"",(F68-E68)*1440)</x:f>
      </x:c>
      <x:c r="H68" s="138" t="str">
        <x:f>IF(G68="","",G68/60)</x:f>
      </x:c>
      <x:c r="I68" s="141"/>
    </x:row>
    <x:row r="69">
      <x:c r="A69" s="139"/>
      <x:c r="B69" s="117"/>
      <x:c r="C69" s="117"/>
      <x:c r="D69" s="117"/>
      <x:c r="E69" s="118"/>
      <x:c r="F69" s="140"/>
      <x:c r="G69" s="137" t="str">
        <x:f>IF(OR(E69="",F69=""),"",(F69-E69)*1440)</x:f>
      </x:c>
      <x:c r="H69" s="138" t="str">
        <x:f>IF(G69="","",G69/60)</x:f>
      </x:c>
      <x:c r="I69" s="141"/>
    </x:row>
    <x:row r="70">
      <x:c r="A70" s="139"/>
      <x:c r="B70" s="117"/>
      <x:c r="C70" s="117"/>
      <x:c r="D70" s="117"/>
      <x:c r="E70" s="118"/>
      <x:c r="F70" s="140"/>
      <x:c r="G70" s="137" t="str">
        <x:f>IF(OR(E70="",F70=""),"",(F70-E70)*1440)</x:f>
      </x:c>
      <x:c r="H70" s="138" t="str">
        <x:f>IF(G70="","",G70/60)</x:f>
      </x:c>
      <x:c r="I70" s="141"/>
    </x:row>
    <x:row r="71">
      <x:c r="A71" s="139"/>
      <x:c r="B71" s="117"/>
      <x:c r="C71" s="117"/>
      <x:c r="D71" s="117"/>
      <x:c r="E71" s="118"/>
      <x:c r="F71" s="140"/>
      <x:c r="G71" s="137" t="str">
        <x:f>IF(OR(E71="",F71=""),"",(F71-E71)*1440)</x:f>
      </x:c>
      <x:c r="H71" s="138" t="str">
        <x:f>IF(G71="","",G71/60)</x:f>
      </x:c>
      <x:c r="I71" s="141"/>
    </x:row>
    <x:row r="72">
      <x:c r="A72" s="139"/>
      <x:c r="B72" s="117"/>
      <x:c r="C72" s="117"/>
      <x:c r="D72" s="117"/>
      <x:c r="E72" s="118"/>
      <x:c r="F72" s="140"/>
      <x:c r="G72" s="137" t="str">
        <x:f>IF(OR(E72="",F72=""),"",(F72-E72)*1440)</x:f>
      </x:c>
      <x:c r="H72" s="138" t="str">
        <x:f>IF(G72="","",G72/60)</x:f>
      </x:c>
      <x:c r="I72" s="141"/>
    </x:row>
    <x:row r="73">
      <x:c r="A73" s="139"/>
      <x:c r="B73" s="117"/>
      <x:c r="C73" s="117"/>
      <x:c r="D73" s="117"/>
      <x:c r="E73" s="118"/>
      <x:c r="F73" s="140"/>
      <x:c r="G73" s="137" t="str">
        <x:f>IF(OR(E73="",F73=""),"",(F73-E73)*1440)</x:f>
      </x:c>
      <x:c r="H73" s="138" t="str">
        <x:f>IF(G73="","",G73/60)</x:f>
      </x:c>
      <x:c r="I73" s="141"/>
    </x:row>
    <x:row r="74">
      <x:c r="A74" s="139"/>
      <x:c r="B74" s="117"/>
      <x:c r="C74" s="117"/>
      <x:c r="D74" s="117"/>
      <x:c r="E74" s="118"/>
      <x:c r="F74" s="140"/>
      <x:c r="G74" s="137" t="str">
        <x:f>IF(OR(E74="",F74=""),"",(F74-E74)*1440)</x:f>
      </x:c>
      <x:c r="H74" s="138" t="str">
        <x:f>IF(G74="","",G74/60)</x:f>
      </x:c>
      <x:c r="I74" s="141"/>
    </x:row>
    <x:row r="75">
      <x:c r="A75" s="139"/>
      <x:c r="B75" s="117"/>
      <x:c r="C75" s="117"/>
      <x:c r="D75" s="117"/>
      <x:c r="E75" s="118"/>
      <x:c r="F75" s="140"/>
      <x:c r="G75" s="137" t="str">
        <x:f>IF(OR(E75="",F75=""),"",(F75-E75)*1440)</x:f>
      </x:c>
      <x:c r="H75" s="138" t="str">
        <x:f>IF(G75="","",G75/60)</x:f>
      </x:c>
      <x:c r="I75" s="141"/>
    </x:row>
    <x:row r="76">
      <x:c r="A76" s="139"/>
      <x:c r="B76" s="117"/>
      <x:c r="C76" s="117"/>
      <x:c r="D76" s="117"/>
      <x:c r="E76" s="118"/>
      <x:c r="F76" s="140"/>
      <x:c r="G76" s="137" t="str">
        <x:f>IF(OR(E76="",F76=""),"",(F76-E76)*1440)</x:f>
      </x:c>
      <x:c r="H76" s="138" t="str">
        <x:f>IF(G76="","",G76/60)</x:f>
      </x:c>
      <x:c r="I76" s="141"/>
    </x:row>
    <x:row r="77">
      <x:c r="A77" s="139"/>
      <x:c r="B77" s="117"/>
      <x:c r="C77" s="117"/>
      <x:c r="D77" s="117"/>
      <x:c r="E77" s="118"/>
      <x:c r="F77" s="140"/>
      <x:c r="G77" s="137" t="str">
        <x:f>IF(OR(E77="",F77=""),"",(F77-E77)*1440)</x:f>
      </x:c>
      <x:c r="H77" s="138" t="str">
        <x:f>IF(G77="","",G77/60)</x:f>
      </x:c>
      <x:c r="I77" s="141"/>
    </x:row>
    <x:row r="78">
      <x:c r="A78" s="139"/>
      <x:c r="B78" s="117"/>
      <x:c r="C78" s="117"/>
      <x:c r="D78" s="117"/>
      <x:c r="E78" s="118"/>
      <x:c r="F78" s="140"/>
      <x:c r="G78" s="137" t="str">
        <x:f>IF(OR(E78="",F78=""),"",(F78-E78)*1440)</x:f>
      </x:c>
      <x:c r="H78" s="138" t="str">
        <x:f>IF(G78="","",G78/60)</x:f>
      </x:c>
      <x:c r="I78" s="141"/>
    </x:row>
    <x:row r="79">
      <x:c r="A79" s="139"/>
      <x:c r="B79" s="117"/>
      <x:c r="C79" s="117"/>
      <x:c r="D79" s="117"/>
      <x:c r="E79" s="118"/>
      <x:c r="F79" s="140"/>
      <x:c r="G79" s="137" t="str">
        <x:f>IF(OR(E79="",F79=""),"",(F79-E79)*1440)</x:f>
      </x:c>
      <x:c r="H79" s="138" t="str">
        <x:f>IF(G79="","",G79/60)</x:f>
      </x:c>
      <x:c r="I79" s="141"/>
    </x:row>
    <x:row r="80">
      <x:c r="A80" s="139"/>
      <x:c r="B80" s="117"/>
      <x:c r="C80" s="117"/>
      <x:c r="D80" s="117"/>
      <x:c r="E80" s="118"/>
      <x:c r="F80" s="140"/>
      <x:c r="G80" s="137" t="str">
        <x:f>IF(OR(E80="",F80=""),"",(F80-E80)*1440)</x:f>
      </x:c>
      <x:c r="H80" s="138" t="str">
        <x:f>IF(G80="","",G80/60)</x:f>
      </x:c>
      <x:c r="I80" s="141"/>
    </x:row>
    <x:row r="81">
      <x:c r="A81" s="139"/>
      <x:c r="B81" s="117"/>
      <x:c r="C81" s="117"/>
      <x:c r="D81" s="117"/>
      <x:c r="E81" s="118"/>
      <x:c r="F81" s="140"/>
      <x:c r="G81" s="137" t="str">
        <x:f>IF(OR(E81="",F81=""),"",(F81-E81)*1440)</x:f>
      </x:c>
      <x:c r="H81" s="138" t="str">
        <x:f>IF(G81="","",G81/60)</x:f>
      </x:c>
      <x:c r="I81" s="141"/>
    </x:row>
    <x:row r="82">
      <x:c r="A82" s="139"/>
      <x:c r="B82" s="117"/>
      <x:c r="C82" s="117"/>
      <x:c r="D82" s="117"/>
      <x:c r="E82" s="118"/>
      <x:c r="F82" s="140"/>
      <x:c r="G82" s="137" t="str">
        <x:f>IF(OR(E82="",F82=""),"",(F82-E82)*1440)</x:f>
      </x:c>
      <x:c r="H82" s="138" t="str">
        <x:f>IF(G82="","",G82/60)</x:f>
      </x:c>
      <x:c r="I82" s="141"/>
    </x:row>
    <x:row r="83">
      <x:c r="A83" s="139"/>
      <x:c r="B83" s="117"/>
      <x:c r="C83" s="117"/>
      <x:c r="D83" s="117"/>
      <x:c r="E83" s="118"/>
      <x:c r="F83" s="140"/>
      <x:c r="G83" s="137" t="str">
        <x:f>IF(OR(E83="",F83=""),"",(F83-E83)*1440)</x:f>
      </x:c>
      <x:c r="H83" s="138" t="str">
        <x:f>IF(G83="","",G83/60)</x:f>
      </x:c>
      <x:c r="I83" s="141"/>
    </x:row>
    <x:row r="84">
      <x:c r="A84" s="139"/>
      <x:c r="B84" s="117"/>
      <x:c r="C84" s="117"/>
      <x:c r="D84" s="117"/>
      <x:c r="E84" s="118"/>
      <x:c r="F84" s="140"/>
      <x:c r="G84" s="137" t="str">
        <x:f>IF(OR(E84="",F84=""),"",(F84-E84)*1440)</x:f>
      </x:c>
      <x:c r="H84" s="138" t="str">
        <x:f>IF(G84="","",G84/60)</x:f>
      </x:c>
      <x:c r="I84" s="141"/>
    </x:row>
    <x:row r="85">
      <x:c r="A85" s="139"/>
      <x:c r="B85" s="117"/>
      <x:c r="C85" s="117"/>
      <x:c r="D85" s="117"/>
      <x:c r="E85" s="118"/>
      <x:c r="F85" s="140"/>
      <x:c r="G85" s="137" t="str">
        <x:f>IF(OR(E85="",F85=""),"",(F85-E85)*1440)</x:f>
      </x:c>
      <x:c r="H85" s="138" t="str">
        <x:f>IF(G85="","",G85/60)</x:f>
      </x:c>
      <x:c r="I85" s="141"/>
    </x:row>
    <x:row r="86">
      <x:c r="A86" s="139"/>
      <x:c r="B86" s="117"/>
      <x:c r="C86" s="117"/>
      <x:c r="D86" s="117"/>
      <x:c r="E86" s="118"/>
      <x:c r="F86" s="140"/>
      <x:c r="G86" s="137" t="str">
        <x:f>IF(OR(E86="",F86=""),"",(F86-E86)*1440)</x:f>
      </x:c>
      <x:c r="H86" s="138" t="str">
        <x:f>IF(G86="","",G86/60)</x:f>
      </x:c>
      <x:c r="I86" s="141"/>
    </x:row>
    <x:row r="87">
      <x:c r="A87" s="139"/>
      <x:c r="B87" s="117"/>
      <x:c r="C87" s="117"/>
      <x:c r="D87" s="117"/>
      <x:c r="E87" s="118"/>
      <x:c r="F87" s="140"/>
      <x:c r="G87" s="137" t="str">
        <x:f>IF(OR(E87="",F87=""),"",(F87-E87)*1440)</x:f>
      </x:c>
      <x:c r="H87" s="138" t="str">
        <x:f>IF(G87="","",G87/60)</x:f>
      </x:c>
      <x:c r="I87" s="141"/>
    </x:row>
    <x:row r="88">
      <x:c r="A88" s="139"/>
      <x:c r="B88" s="117"/>
      <x:c r="C88" s="117"/>
      <x:c r="D88" s="117"/>
      <x:c r="E88" s="118"/>
      <x:c r="F88" s="140"/>
      <x:c r="G88" s="137" t="str">
        <x:f>IF(OR(E88="",F88=""),"",(F88-E88)*1440)</x:f>
      </x:c>
      <x:c r="H88" s="138" t="str">
        <x:f>IF(G88="","",G88/60)</x:f>
      </x:c>
      <x:c r="I88" s="141"/>
    </x:row>
    <x:row r="89">
      <x:c r="A89" s="139"/>
      <x:c r="B89" s="117"/>
      <x:c r="C89" s="117"/>
      <x:c r="D89" s="117"/>
      <x:c r="E89" s="118"/>
      <x:c r="F89" s="140"/>
      <x:c r="G89" s="137" t="str">
        <x:f>IF(OR(E89="",F89=""),"",(F89-E89)*1440)</x:f>
      </x:c>
      <x:c r="H89" s="138" t="str">
        <x:f>IF(G89="","",G89/60)</x:f>
      </x:c>
      <x:c r="I89" s="141"/>
    </x:row>
    <x:row r="90">
      <x:c r="A90" s="139"/>
      <x:c r="B90" s="117"/>
      <x:c r="C90" s="117"/>
      <x:c r="D90" s="117"/>
      <x:c r="E90" s="118"/>
      <x:c r="F90" s="140"/>
      <x:c r="G90" s="137" t="str">
        <x:f>IF(OR(E90="",F90=""),"",(F90-E90)*1440)</x:f>
      </x:c>
      <x:c r="H90" s="138" t="str">
        <x:f>IF(G90="","",G90/60)</x:f>
      </x:c>
      <x:c r="I90" s="141"/>
    </x:row>
    <x:row r="91">
      <x:c r="A91" s="139"/>
      <x:c r="B91" s="117"/>
      <x:c r="C91" s="117"/>
      <x:c r="D91" s="117"/>
      <x:c r="E91" s="118"/>
      <x:c r="F91" s="140"/>
      <x:c r="G91" s="137" t="str">
        <x:f>IF(OR(E91="",F91=""),"",(F91-E91)*1440)</x:f>
      </x:c>
      <x:c r="H91" s="138" t="str">
        <x:f>IF(G91="","",G91/60)</x:f>
      </x:c>
      <x:c r="I91" s="141"/>
    </x:row>
    <x:row r="92">
      <x:c r="A92" s="139"/>
      <x:c r="B92" s="117"/>
      <x:c r="C92" s="117"/>
      <x:c r="D92" s="117"/>
      <x:c r="E92" s="118"/>
      <x:c r="F92" s="140"/>
      <x:c r="G92" s="137" t="str">
        <x:f>IF(OR(E92="",F92=""),"",(F92-E92)*1440)</x:f>
      </x:c>
      <x:c r="H92" s="138" t="str">
        <x:f>IF(G92="","",G92/60)</x:f>
      </x:c>
      <x:c r="I92" s="141"/>
    </x:row>
    <x:row r="93">
      <x:c r="A93" s="139"/>
      <x:c r="B93" s="117"/>
      <x:c r="C93" s="117"/>
      <x:c r="D93" s="117"/>
      <x:c r="E93" s="118"/>
      <x:c r="F93" s="140"/>
      <x:c r="G93" s="137" t="str">
        <x:f>IF(OR(E93="",F93=""),"",(F93-E93)*1440)</x:f>
      </x:c>
      <x:c r="H93" s="138" t="str">
        <x:f>IF(G93="","",G93/60)</x:f>
      </x:c>
      <x:c r="I93" s="141"/>
    </x:row>
    <x:row r="94">
      <x:c r="A94" s="139"/>
      <x:c r="B94" s="117"/>
      <x:c r="C94" s="117"/>
      <x:c r="D94" s="117"/>
      <x:c r="E94" s="118"/>
      <x:c r="F94" s="140"/>
      <x:c r="G94" s="137" t="str">
        <x:f>IF(OR(E94="",F94=""),"",(F94-E94)*1440)</x:f>
      </x:c>
      <x:c r="H94" s="138" t="str">
        <x:f>IF(G94="","",G94/60)</x:f>
      </x:c>
      <x:c r="I94" s="141"/>
    </x:row>
    <x:row r="95">
      <x:c r="A95" s="139"/>
      <x:c r="B95" s="117"/>
      <x:c r="C95" s="117"/>
      <x:c r="D95" s="117"/>
      <x:c r="E95" s="118"/>
      <x:c r="F95" s="140"/>
      <x:c r="G95" s="137" t="str">
        <x:f>IF(OR(E95="",F95=""),"",(F95-E95)*1440)</x:f>
      </x:c>
      <x:c r="H95" s="138" t="str">
        <x:f>IF(G95="","",G95/60)</x:f>
      </x:c>
      <x:c r="I95" s="141"/>
    </x:row>
    <x:row r="96">
      <x:c r="A96" s="139"/>
      <x:c r="B96" s="117"/>
      <x:c r="C96" s="117"/>
      <x:c r="D96" s="117"/>
      <x:c r="E96" s="118"/>
      <x:c r="F96" s="140"/>
      <x:c r="G96" s="137" t="str">
        <x:f>IF(OR(E96="",F96=""),"",(F96-E96)*1440)</x:f>
      </x:c>
      <x:c r="H96" s="138" t="str">
        <x:f>IF(G96="","",G96/60)</x:f>
      </x:c>
      <x:c r="I96" s="141"/>
    </x:row>
    <x:row r="97">
      <x:c r="A97" s="139"/>
      <x:c r="B97" s="117"/>
      <x:c r="C97" s="117"/>
      <x:c r="D97" s="117"/>
      <x:c r="E97" s="118"/>
      <x:c r="F97" s="140"/>
      <x:c r="G97" s="137" t="str">
        <x:f>IF(OR(E97="",F97=""),"",(F97-E97)*1440)</x:f>
      </x:c>
      <x:c r="H97" s="138" t="str">
        <x:f>IF(G97="","",G97/60)</x:f>
      </x:c>
      <x:c r="I97" s="141"/>
    </x:row>
    <x:row r="98">
      <x:c r="A98" s="139"/>
      <x:c r="B98" s="117"/>
      <x:c r="C98" s="117"/>
      <x:c r="D98" s="117"/>
      <x:c r="E98" s="118"/>
      <x:c r="F98" s="140"/>
      <x:c r="G98" s="137" t="str">
        <x:f>IF(OR(E98="",F98=""),"",(F98-E98)*1440)</x:f>
      </x:c>
      <x:c r="H98" s="138" t="str">
        <x:f>IF(G98="","",G98/60)</x:f>
      </x:c>
      <x:c r="I98" s="141"/>
    </x:row>
    <x:row r="99">
      <x:c r="A99" s="139"/>
      <x:c r="B99" s="117"/>
      <x:c r="C99" s="117"/>
      <x:c r="D99" s="117"/>
      <x:c r="E99" s="118"/>
      <x:c r="F99" s="140"/>
      <x:c r="G99" s="137" t="str">
        <x:f>IF(OR(E99="",F99=""),"",(F99-E99)*1440)</x:f>
      </x:c>
      <x:c r="H99" s="138" t="str">
        <x:f>IF(G99="","",G99/60)</x:f>
      </x:c>
      <x:c r="I99" s="141"/>
    </x:row>
    <x:row r="100">
      <x:c r="A100" s="139"/>
      <x:c r="B100" s="117"/>
      <x:c r="C100" s="117"/>
      <x:c r="D100" s="117"/>
      <x:c r="E100" s="118"/>
      <x:c r="F100" s="140"/>
      <x:c r="G100" s="137" t="str">
        <x:f>IF(OR(E100="",F100=""),"",(F100-E100)*1440)</x:f>
      </x:c>
      <x:c r="H100" s="138" t="str">
        <x:f>IF(G100="","",G100/60)</x:f>
      </x:c>
      <x:c r="I100" s="141"/>
    </x:row>
    <x:row r="101">
      <x:c r="A101" s="139"/>
      <x:c r="B101" s="117"/>
      <x:c r="C101" s="117"/>
      <x:c r="D101" s="117"/>
      <x:c r="E101" s="118"/>
      <x:c r="F101" s="140"/>
      <x:c r="G101" s="137" t="str">
        <x:f>IF(OR(E101="",F101=""),"",(F101-E101)*1440)</x:f>
      </x:c>
      <x:c r="H101" s="138" t="str">
        <x:f>IF(G101="","",G101/60)</x:f>
      </x:c>
      <x:c r="I101" s="141"/>
    </x:row>
    <x:row r="102">
      <x:c r="A102" s="139"/>
      <x:c r="B102" s="117"/>
      <x:c r="C102" s="117"/>
      <x:c r="D102" s="117"/>
      <x:c r="E102" s="118"/>
      <x:c r="F102" s="140"/>
      <x:c r="G102" s="137" t="str">
        <x:f>IF(OR(E102="",F102=""),"",(F102-E102)*1440)</x:f>
      </x:c>
      <x:c r="H102" s="138" t="str">
        <x:f>IF(G102="","",G102/60)</x:f>
      </x:c>
      <x:c r="I102" s="141"/>
    </x:row>
    <x:row r="103">
      <x:c r="A103" s="139"/>
      <x:c r="B103" s="117"/>
      <x:c r="C103" s="117"/>
      <x:c r="D103" s="117"/>
      <x:c r="E103" s="118"/>
      <x:c r="F103" s="140"/>
      <x:c r="G103" s="137" t="str">
        <x:f>IF(OR(E103="",F103=""),"",(F103-E103)*1440)</x:f>
      </x:c>
      <x:c r="H103" s="138" t="str">
        <x:f>IF(G103="","",G103/60)</x:f>
      </x:c>
      <x:c r="I103" s="141"/>
    </x:row>
    <x:row r="104">
      <x:c r="A104" s="139"/>
      <x:c r="B104" s="117"/>
      <x:c r="C104" s="117"/>
      <x:c r="D104" s="117"/>
      <x:c r="E104" s="118"/>
      <x:c r="F104" s="140"/>
      <x:c r="G104" s="137" t="str">
        <x:f>IF(OR(E104="",F104=""),"",(F104-E104)*1440)</x:f>
      </x:c>
      <x:c r="H104" s="138" t="str">
        <x:f>IF(G104="","",G104/60)</x:f>
      </x:c>
      <x:c r="I104" s="141"/>
    </x:row>
    <x:row r="105">
      <x:c r="A105" s="139"/>
      <x:c r="B105" s="117"/>
      <x:c r="C105" s="117"/>
      <x:c r="D105" s="117"/>
      <x:c r="E105" s="118"/>
      <x:c r="F105" s="140"/>
      <x:c r="G105" s="137" t="str">
        <x:f>IF(OR(E105="",F105=""),"",(F105-E105)*1440)</x:f>
      </x:c>
      <x:c r="H105" s="138" t="str">
        <x:f>IF(G105="","",G105/60)</x:f>
      </x:c>
      <x:c r="I105" s="141"/>
    </x:row>
    <x:row r="106">
      <x:c r="A106" s="139"/>
      <x:c r="B106" s="117"/>
      <x:c r="C106" s="117"/>
      <x:c r="D106" s="117"/>
      <x:c r="E106" s="118"/>
      <x:c r="F106" s="140"/>
      <x:c r="G106" s="137" t="str">
        <x:f>IF(OR(E106="",F106=""),"",(F106-E106)*1440)</x:f>
      </x:c>
      <x:c r="H106" s="138" t="str">
        <x:f>IF(G106="","",G106/60)</x:f>
      </x:c>
      <x:c r="I106" s="141"/>
    </x:row>
    <x:row r="107">
      <x:c r="A107" s="139"/>
      <x:c r="B107" s="117"/>
      <x:c r="C107" s="117"/>
      <x:c r="D107" s="117"/>
      <x:c r="E107" s="118"/>
      <x:c r="F107" s="140"/>
      <x:c r="G107" s="137" t="str">
        <x:f>IF(OR(E107="",F107=""),"",(F107-E107)*1440)</x:f>
      </x:c>
      <x:c r="H107" s="138" t="str">
        <x:f>IF(G107="","",G107/60)</x:f>
      </x:c>
      <x:c r="I107" s="141"/>
    </x:row>
    <x:row r="108">
      <x:c r="A108" s="139"/>
      <x:c r="B108" s="117"/>
      <x:c r="C108" s="117"/>
      <x:c r="D108" s="117"/>
      <x:c r="E108" s="118"/>
      <x:c r="F108" s="140"/>
      <x:c r="G108" s="137" t="str">
        <x:f>IF(OR(E108="",F108=""),"",(F108-E108)*1440)</x:f>
      </x:c>
      <x:c r="H108" s="138" t="str">
        <x:f>IF(G108="","",G108/60)</x:f>
      </x:c>
      <x:c r="I108" s="141"/>
    </x:row>
    <x:row r="109">
      <x:c r="A109" s="139"/>
      <x:c r="B109" s="117"/>
      <x:c r="C109" s="117"/>
      <x:c r="D109" s="117"/>
      <x:c r="E109" s="118"/>
      <x:c r="F109" s="140"/>
      <x:c r="G109" s="137" t="str">
        <x:f>IF(OR(E109="",F109=""),"",(F109-E109)*1440)</x:f>
      </x:c>
      <x:c r="H109" s="138" t="str">
        <x:f>IF(G109="","",G109/60)</x:f>
      </x:c>
      <x:c r="I109" s="141"/>
    </x:row>
    <x:row r="110">
      <x:c r="A110" s="139"/>
      <x:c r="B110" s="117"/>
      <x:c r="C110" s="117"/>
      <x:c r="D110" s="117"/>
      <x:c r="E110" s="118"/>
      <x:c r="F110" s="140"/>
      <x:c r="G110" s="137" t="str">
        <x:f>IF(OR(E110="",F110=""),"",(F110-E110)*1440)</x:f>
      </x:c>
      <x:c r="H110" s="138" t="str">
        <x:f>IF(G110="","",G110/60)</x:f>
      </x:c>
      <x:c r="I110" s="141"/>
    </x:row>
    <x:row r="111">
      <x:c r="A111" s="139"/>
      <x:c r="B111" s="117"/>
      <x:c r="C111" s="117"/>
      <x:c r="D111" s="117"/>
      <x:c r="E111" s="118"/>
      <x:c r="F111" s="140"/>
      <x:c r="G111" s="137" t="str">
        <x:f>IF(OR(E111="",F111=""),"",(F111-E111)*1440)</x:f>
      </x:c>
      <x:c r="H111" s="138" t="str">
        <x:f>IF(G111="","",G111/60)</x:f>
      </x:c>
      <x:c r="I111" s="141"/>
    </x:row>
    <x:row r="112">
      <x:c r="A112" s="139"/>
      <x:c r="B112" s="117"/>
      <x:c r="C112" s="117"/>
      <x:c r="D112" s="117"/>
      <x:c r="E112" s="118"/>
      <x:c r="F112" s="140"/>
      <x:c r="G112" s="137" t="str">
        <x:f>IF(OR(E112="",F112=""),"",(F112-E112)*1440)</x:f>
      </x:c>
      <x:c r="H112" s="138" t="str">
        <x:f>IF(G112="","",G112/60)</x:f>
      </x:c>
      <x:c r="I112" s="141"/>
    </x:row>
    <x:row r="113">
      <x:c r="A113" s="139"/>
      <x:c r="B113" s="117"/>
      <x:c r="C113" s="117"/>
      <x:c r="D113" s="117"/>
      <x:c r="E113" s="118"/>
      <x:c r="F113" s="140"/>
      <x:c r="G113" s="137" t="str">
        <x:f>IF(OR(E113="",F113=""),"",(F113-E113)*1440)</x:f>
      </x:c>
      <x:c r="H113" s="138" t="str">
        <x:f>IF(G113="","",G113/60)</x:f>
      </x:c>
      <x:c r="I113" s="141"/>
    </x:row>
    <x:row r="114">
      <x:c r="A114" s="139"/>
      <x:c r="B114" s="117"/>
      <x:c r="C114" s="117"/>
      <x:c r="D114" s="117"/>
      <x:c r="E114" s="118"/>
      <x:c r="F114" s="140"/>
      <x:c r="G114" s="137" t="str">
        <x:f>IF(OR(E114="",F114=""),"",(F114-E114)*1440)</x:f>
      </x:c>
      <x:c r="H114" s="138" t="str">
        <x:f>IF(G114="","",G114/60)</x:f>
      </x:c>
      <x:c r="I114" s="141"/>
    </x:row>
    <x:row r="115">
      <x:c r="A115" s="139"/>
      <x:c r="B115" s="117"/>
      <x:c r="C115" s="117"/>
      <x:c r="D115" s="117"/>
      <x:c r="E115" s="118"/>
      <x:c r="F115" s="140"/>
      <x:c r="G115" s="137" t="str">
        <x:f>IF(OR(E115="",F115=""),"",(F115-E115)*1440)</x:f>
      </x:c>
      <x:c r="H115" s="138" t="str">
        <x:f>IF(G115="","",G115/60)</x:f>
      </x:c>
      <x:c r="I115" s="141"/>
    </x:row>
    <x:row r="116">
      <x:c r="A116" s="139"/>
      <x:c r="B116" s="117"/>
      <x:c r="C116" s="117"/>
      <x:c r="D116" s="117"/>
      <x:c r="E116" s="118"/>
      <x:c r="F116" s="140"/>
      <x:c r="G116" s="137" t="str">
        <x:f>IF(OR(E116="",F116=""),"",(F116-E116)*1440)</x:f>
      </x:c>
      <x:c r="H116" s="138" t="str">
        <x:f>IF(G116="","",G116/60)</x:f>
      </x:c>
      <x:c r="I116" s="141"/>
    </x:row>
    <x:row r="117">
      <x:c r="A117" s="139"/>
      <x:c r="B117" s="117"/>
      <x:c r="C117" s="117"/>
      <x:c r="D117" s="117"/>
      <x:c r="E117" s="118"/>
      <x:c r="F117" s="140"/>
      <x:c r="G117" s="137" t="str">
        <x:f>IF(OR(E117="",F117=""),"",(F117-E117)*1440)</x:f>
      </x:c>
      <x:c r="H117" s="138" t="str">
        <x:f>IF(G117="","",G117/60)</x:f>
      </x:c>
      <x:c r="I117" s="141"/>
    </x:row>
    <x:row r="118">
      <x:c r="A118" s="139"/>
      <x:c r="B118" s="117"/>
      <x:c r="C118" s="117"/>
      <x:c r="D118" s="117"/>
      <x:c r="E118" s="118"/>
      <x:c r="F118" s="140"/>
      <x:c r="G118" s="137" t="str">
        <x:f>IF(OR(E118="",F118=""),"",(F118-E118)*1440)</x:f>
      </x:c>
      <x:c r="H118" s="138" t="str">
        <x:f>IF(G118="","",G118/60)</x:f>
      </x:c>
      <x:c r="I118" s="141"/>
    </x:row>
    <x:row r="119">
      <x:c r="A119" s="139"/>
      <x:c r="B119" s="117"/>
      <x:c r="C119" s="117"/>
      <x:c r="D119" s="117"/>
      <x:c r="E119" s="118"/>
      <x:c r="F119" s="140"/>
      <x:c r="G119" s="137" t="str">
        <x:f>IF(OR(E119="",F119=""),"",(F119-E119)*1440)</x:f>
      </x:c>
      <x:c r="H119" s="138" t="str">
        <x:f>IF(G119="","",G119/60)</x:f>
      </x:c>
      <x:c r="I119" s="141"/>
    </x:row>
    <x:row r="120">
      <x:c r="A120" s="139"/>
      <x:c r="B120" s="117"/>
      <x:c r="C120" s="117"/>
      <x:c r="D120" s="117"/>
      <x:c r="E120" s="118"/>
      <x:c r="F120" s="140"/>
      <x:c r="G120" s="137" t="str">
        <x:f>IF(OR(E120="",F120=""),"",(F120-E120)*1440)</x:f>
      </x:c>
      <x:c r="H120" s="138" t="str">
        <x:f>IF(G120="","",G120/60)</x:f>
      </x:c>
      <x:c r="I120" s="141"/>
    </x:row>
    <x:row r="121">
      <x:c r="A121" s="139"/>
      <x:c r="B121" s="117"/>
      <x:c r="C121" s="117"/>
      <x:c r="D121" s="117"/>
      <x:c r="E121" s="118"/>
      <x:c r="F121" s="140"/>
      <x:c r="G121" s="137" t="str">
        <x:f>IF(OR(E121="",F121=""),"",(F121-E121)*1440)</x:f>
      </x:c>
      <x:c r="H121" s="138" t="str">
        <x:f>IF(G121="","",G121/60)</x:f>
      </x:c>
      <x:c r="I121" s="141"/>
    </x:row>
    <x:row r="122">
      <x:c r="A122" s="139"/>
      <x:c r="B122" s="117"/>
      <x:c r="C122" s="117"/>
      <x:c r="D122" s="117"/>
      <x:c r="E122" s="118"/>
      <x:c r="F122" s="140"/>
      <x:c r="G122" s="137" t="str">
        <x:f>IF(OR(E122="",F122=""),"",(F122-E122)*1440)</x:f>
      </x:c>
      <x:c r="H122" s="138" t="str">
        <x:f>IF(G122="","",G122/60)</x:f>
      </x:c>
      <x:c r="I122" s="141"/>
    </x:row>
    <x:row r="123">
      <x:c r="A123" s="139"/>
      <x:c r="B123" s="117"/>
      <x:c r="C123" s="117"/>
      <x:c r="D123" s="117"/>
      <x:c r="E123" s="118"/>
      <x:c r="F123" s="140"/>
      <x:c r="G123" s="137" t="str">
        <x:f>IF(OR(E123="",F123=""),"",(F123-E123)*1440)</x:f>
      </x:c>
      <x:c r="H123" s="138" t="str">
        <x:f>IF(G123="","",G123/60)</x:f>
      </x:c>
      <x:c r="I123" s="141"/>
    </x:row>
    <x:row r="124">
      <x:c r="A124" s="139"/>
      <x:c r="B124" s="117"/>
      <x:c r="C124" s="117"/>
      <x:c r="D124" s="117"/>
      <x:c r="E124" s="118"/>
      <x:c r="F124" s="140"/>
      <x:c r="G124" s="137" t="str">
        <x:f>IF(OR(E124="",F124=""),"",(F124-E124)*1440)</x:f>
      </x:c>
      <x:c r="H124" s="138" t="str">
        <x:f>IF(G124="","",G124/60)</x:f>
      </x:c>
      <x:c r="I124" s="141"/>
    </x:row>
    <x:row r="125">
      <x:c r="A125" s="139"/>
      <x:c r="B125" s="117"/>
      <x:c r="C125" s="117"/>
      <x:c r="D125" s="117"/>
      <x:c r="E125" s="118"/>
      <x:c r="F125" s="140"/>
      <x:c r="G125" s="137" t="str">
        <x:f>IF(OR(E125="",F125=""),"",(F125-E125)*1440)</x:f>
      </x:c>
      <x:c r="H125" s="138" t="str">
        <x:f>IF(G125="","",G125/60)</x:f>
      </x:c>
      <x:c r="I125" s="141"/>
    </x:row>
    <x:row r="126">
      <x:c r="A126" s="139"/>
      <x:c r="B126" s="117"/>
      <x:c r="C126" s="117"/>
      <x:c r="D126" s="117"/>
      <x:c r="E126" s="118"/>
      <x:c r="F126" s="140"/>
      <x:c r="G126" s="137" t="str">
        <x:f>IF(OR(E126="",F126=""),"",(F126-E126)*1440)</x:f>
      </x:c>
      <x:c r="H126" s="138" t="str">
        <x:f>IF(G126="","",G126/60)</x:f>
      </x:c>
      <x:c r="I126" s="141"/>
    </x:row>
    <x:row r="127">
      <x:c r="A127" s="139"/>
      <x:c r="B127" s="117"/>
      <x:c r="C127" s="117"/>
      <x:c r="D127" s="117"/>
      <x:c r="E127" s="118"/>
      <x:c r="F127" s="140"/>
      <x:c r="G127" s="137" t="str">
        <x:f>IF(OR(E127="",F127=""),"",(F127-E127)*1440)</x:f>
      </x:c>
      <x:c r="H127" s="138" t="str">
        <x:f>IF(G127="","",G127/60)</x:f>
      </x:c>
      <x:c r="I127" s="141"/>
    </x:row>
    <x:row r="128">
      <x:c r="A128" s="139"/>
      <x:c r="B128" s="117"/>
      <x:c r="C128" s="117"/>
      <x:c r="D128" s="117"/>
      <x:c r="E128" s="118"/>
      <x:c r="F128" s="140"/>
      <x:c r="G128" s="137" t="str">
        <x:f>IF(OR(E128="",F128=""),"",(F128-E128)*1440)</x:f>
      </x:c>
      <x:c r="H128" s="138" t="str">
        <x:f>IF(G128="","",G128/60)</x:f>
      </x:c>
      <x:c r="I128" s="141"/>
    </x:row>
    <x:row r="129">
      <x:c r="A129" s="139"/>
      <x:c r="B129" s="117"/>
      <x:c r="C129" s="117"/>
      <x:c r="D129" s="117"/>
      <x:c r="E129" s="118"/>
      <x:c r="F129" s="140"/>
      <x:c r="G129" s="137" t="str">
        <x:f>IF(OR(E129="",F129=""),"",(F129-E129)*1440)</x:f>
      </x:c>
      <x:c r="H129" s="138" t="str">
        <x:f>IF(G129="","",G129/60)</x:f>
      </x:c>
      <x:c r="I129" s="141"/>
    </x:row>
    <x:row r="130">
      <x:c r="A130" s="139"/>
      <x:c r="B130" s="117"/>
      <x:c r="C130" s="117"/>
      <x:c r="D130" s="117"/>
      <x:c r="E130" s="118"/>
      <x:c r="F130" s="140"/>
      <x:c r="G130" s="137" t="str">
        <x:f>IF(OR(E130="",F130=""),"",(F130-E130)*1440)</x:f>
      </x:c>
      <x:c r="H130" s="138" t="str">
        <x:f>IF(G130="","",G130/60)</x:f>
      </x:c>
      <x:c r="I130" s="141"/>
    </x:row>
    <x:row r="131">
      <x:c r="A131" s="139"/>
      <x:c r="B131" s="117"/>
      <x:c r="C131" s="117"/>
      <x:c r="D131" s="117"/>
      <x:c r="E131" s="118"/>
      <x:c r="F131" s="140"/>
      <x:c r="G131" s="137" t="str">
        <x:f>IF(OR(E131="",F131=""),"",(F131-E131)*1440)</x:f>
      </x:c>
      <x:c r="H131" s="138" t="str">
        <x:f>IF(G131="","",G131/60)</x:f>
      </x:c>
      <x:c r="I131" s="141"/>
    </x:row>
    <x:row r="132">
      <x:c r="A132" s="139"/>
      <x:c r="B132" s="117"/>
      <x:c r="C132" s="117"/>
      <x:c r="D132" s="117"/>
      <x:c r="E132" s="118"/>
      <x:c r="F132" s="140"/>
      <x:c r="G132" s="137" t="str">
        <x:f>IF(OR(E132="",F132=""),"",(F132-E132)*1440)</x:f>
      </x:c>
      <x:c r="H132" s="138" t="str">
        <x:f>IF(G132="","",G132/60)</x:f>
      </x:c>
      <x:c r="I132" s="141"/>
    </x:row>
    <x:row r="133">
      <x:c r="A133" s="139"/>
      <x:c r="B133" s="117"/>
      <x:c r="C133" s="117"/>
      <x:c r="D133" s="117"/>
      <x:c r="E133" s="118"/>
      <x:c r="F133" s="140"/>
      <x:c r="G133" s="137" t="str">
        <x:f>IF(OR(E133="",F133=""),"",(F133-E133)*1440)</x:f>
      </x:c>
      <x:c r="H133" s="138" t="str">
        <x:f>IF(G133="","",G133/60)</x:f>
      </x:c>
      <x:c r="I133" s="141"/>
    </x:row>
    <x:row r="134">
      <x:c r="A134" s="139"/>
      <x:c r="B134" s="117"/>
      <x:c r="C134" s="117"/>
      <x:c r="D134" s="117"/>
      <x:c r="E134" s="118"/>
      <x:c r="F134" s="140"/>
      <x:c r="G134" s="137" t="str">
        <x:f>IF(OR(E134="",F134=""),"",(F134-E134)*1440)</x:f>
      </x:c>
      <x:c r="H134" s="138" t="str">
        <x:f>IF(G134="","",G134/60)</x:f>
      </x:c>
      <x:c r="I134" s="141"/>
    </x:row>
    <x:row r="135">
      <x:c r="A135" s="139"/>
      <x:c r="B135" s="117"/>
      <x:c r="C135" s="117"/>
      <x:c r="D135" s="117"/>
      <x:c r="E135" s="118"/>
      <x:c r="F135" s="140"/>
      <x:c r="G135" s="137" t="str">
        <x:f>IF(OR(E135="",F135=""),"",(F135-E135)*1440)</x:f>
      </x:c>
      <x:c r="H135" s="138" t="str">
        <x:f>IF(G135="","",G135/60)</x:f>
      </x:c>
      <x:c r="I135" s="141"/>
    </x:row>
    <x:row r="136">
      <x:c r="A136" s="139"/>
      <x:c r="B136" s="117"/>
      <x:c r="C136" s="117"/>
      <x:c r="D136" s="117"/>
      <x:c r="E136" s="118"/>
      <x:c r="F136" s="140"/>
      <x:c r="G136" s="137" t="str">
        <x:f>IF(OR(E136="",F136=""),"",(F136-E136)*1440)</x:f>
      </x:c>
      <x:c r="H136" s="138" t="str">
        <x:f>IF(G136="","",G136/60)</x:f>
      </x:c>
      <x:c r="I136" s="141"/>
    </x:row>
    <x:row r="137">
      <x:c r="A137" s="139"/>
      <x:c r="B137" s="117"/>
      <x:c r="C137" s="117"/>
      <x:c r="D137" s="117"/>
      <x:c r="E137" s="118"/>
      <x:c r="F137" s="140"/>
      <x:c r="G137" s="137" t="str">
        <x:f>IF(OR(E137="",F137=""),"",(F137-E137)*1440)</x:f>
      </x:c>
      <x:c r="H137" s="138" t="str">
        <x:f>IF(G137="","",G137/60)</x:f>
      </x:c>
      <x:c r="I137" s="141"/>
    </x:row>
    <x:row r="138">
      <x:c r="A138" s="139"/>
      <x:c r="B138" s="117"/>
      <x:c r="C138" s="117"/>
      <x:c r="D138" s="117"/>
      <x:c r="E138" s="118"/>
      <x:c r="F138" s="140"/>
      <x:c r="G138" s="137" t="str">
        <x:f>IF(OR(E138="",F138=""),"",(F138-E138)*1440)</x:f>
      </x:c>
      <x:c r="H138" s="138" t="str">
        <x:f>IF(G138="","",G138/60)</x:f>
      </x:c>
      <x:c r="I138" s="141"/>
    </x:row>
    <x:row r="139">
      <x:c r="A139" s="139"/>
      <x:c r="B139" s="117"/>
      <x:c r="C139" s="117"/>
      <x:c r="D139" s="117"/>
      <x:c r="E139" s="118"/>
      <x:c r="F139" s="140"/>
      <x:c r="G139" s="137" t="str">
        <x:f>IF(OR(E139="",F139=""),"",(F139-E139)*1440)</x:f>
      </x:c>
      <x:c r="H139" s="138" t="str">
        <x:f>IF(G139="","",G139/60)</x:f>
      </x:c>
      <x:c r="I139" s="141"/>
    </x:row>
    <x:row r="140">
      <x:c r="A140" s="139"/>
      <x:c r="B140" s="117"/>
      <x:c r="C140" s="117"/>
      <x:c r="D140" s="117"/>
      <x:c r="E140" s="118"/>
      <x:c r="F140" s="140"/>
      <x:c r="G140" s="137" t="str">
        <x:f>IF(OR(E140="",F140=""),"",(F140-E140)*1440)</x:f>
      </x:c>
      <x:c r="H140" s="138" t="str">
        <x:f>IF(G140="","",G140/60)</x:f>
      </x:c>
      <x:c r="I140" s="141"/>
    </x:row>
    <x:row r="141">
      <x:c r="A141" s="139"/>
      <x:c r="B141" s="117"/>
      <x:c r="C141" s="117"/>
      <x:c r="D141" s="117"/>
      <x:c r="E141" s="118"/>
      <x:c r="F141" s="140"/>
      <x:c r="G141" s="137" t="str">
        <x:f>IF(OR(E141="",F141=""),"",(F141-E141)*1440)</x:f>
      </x:c>
      <x:c r="H141" s="138" t="str">
        <x:f>IF(G141="","",G141/60)</x:f>
      </x:c>
      <x:c r="I141" s="141"/>
    </x:row>
    <x:row r="142">
      <x:c r="A142" s="139"/>
      <x:c r="B142" s="117"/>
      <x:c r="C142" s="117"/>
      <x:c r="D142" s="117"/>
      <x:c r="E142" s="118"/>
      <x:c r="F142" s="140"/>
      <x:c r="G142" s="137" t="str">
        <x:f>IF(OR(E142="",F142=""),"",(F142-E142)*1440)</x:f>
      </x:c>
      <x:c r="H142" s="138" t="str">
        <x:f>IF(G142="","",G142/60)</x:f>
      </x:c>
      <x:c r="I142" s="141"/>
    </x:row>
    <x:row r="143">
      <x:c r="A143" s="139"/>
      <x:c r="B143" s="117"/>
      <x:c r="C143" s="117"/>
      <x:c r="D143" s="117"/>
      <x:c r="E143" s="118"/>
      <x:c r="F143" s="140"/>
      <x:c r="G143" s="137" t="str">
        <x:f>IF(OR(E143="",F143=""),"",(F143-E143)*1440)</x:f>
      </x:c>
      <x:c r="H143" s="138" t="str">
        <x:f>IF(G143="","",G143/60)</x:f>
      </x:c>
      <x:c r="I143" s="141"/>
    </x:row>
    <x:row r="144">
      <x:c r="A144" s="139"/>
      <x:c r="B144" s="117"/>
      <x:c r="C144" s="117"/>
      <x:c r="D144" s="117"/>
      <x:c r="E144" s="118"/>
      <x:c r="F144" s="140"/>
      <x:c r="G144" s="137" t="str">
        <x:f>IF(OR(E144="",F144=""),"",(F144-E144)*1440)</x:f>
      </x:c>
      <x:c r="H144" s="138" t="str">
        <x:f>IF(G144="","",G144/60)</x:f>
      </x:c>
      <x:c r="I144" s="141"/>
    </x:row>
    <x:row r="145">
      <x:c r="A145" s="139"/>
      <x:c r="B145" s="117"/>
      <x:c r="C145" s="117"/>
      <x:c r="D145" s="117"/>
      <x:c r="E145" s="118"/>
      <x:c r="F145" s="140"/>
      <x:c r="G145" s="137" t="str">
        <x:f>IF(OR(E145="",F145=""),"",(F145-E145)*1440)</x:f>
      </x:c>
      <x:c r="H145" s="138" t="str">
        <x:f>IF(G145="","",G145/60)</x:f>
      </x:c>
      <x:c r="I145" s="141"/>
    </x:row>
    <x:row r="146">
      <x:c r="A146" s="139"/>
      <x:c r="B146" s="117"/>
      <x:c r="C146" s="117"/>
      <x:c r="D146" s="117"/>
      <x:c r="E146" s="118"/>
      <x:c r="F146" s="140"/>
      <x:c r="G146" s="137" t="str">
        <x:f>IF(OR(E146="",F146=""),"",(F146-E146)*1440)</x:f>
      </x:c>
      <x:c r="H146" s="138" t="str">
        <x:f>IF(G146="","",G146/60)</x:f>
      </x:c>
      <x:c r="I146" s="141"/>
    </x:row>
    <x:row r="147">
      <x:c r="A147" s="139"/>
      <x:c r="B147" s="117"/>
      <x:c r="C147" s="117"/>
      <x:c r="D147" s="117"/>
      <x:c r="E147" s="118"/>
      <x:c r="F147" s="140"/>
      <x:c r="G147" s="137" t="str">
        <x:f>IF(OR(E147="",F147=""),"",(F147-E147)*1440)</x:f>
      </x:c>
      <x:c r="H147" s="138" t="str">
        <x:f>IF(G147="","",G147/60)</x:f>
      </x:c>
      <x:c r="I147" s="141"/>
    </x:row>
    <x:row r="148">
      <x:c r="A148" s="139"/>
      <x:c r="B148" s="117"/>
      <x:c r="C148" s="117"/>
      <x:c r="D148" s="117"/>
      <x:c r="E148" s="118"/>
      <x:c r="F148" s="140"/>
      <x:c r="G148" s="137" t="str">
        <x:f>IF(OR(E148="",F148=""),"",(F148-E148)*1440)</x:f>
      </x:c>
      <x:c r="H148" s="138" t="str">
        <x:f>IF(G148="","",G148/60)</x:f>
      </x:c>
      <x:c r="I148" s="141"/>
    </x:row>
    <x:row r="149">
      <x:c r="A149" s="139"/>
      <x:c r="B149" s="117"/>
      <x:c r="C149" s="117"/>
      <x:c r="D149" s="117"/>
      <x:c r="E149" s="118"/>
      <x:c r="F149" s="140"/>
      <x:c r="G149" s="137" t="str">
        <x:f>IF(OR(E149="",F149=""),"",(F149-E149)*1440)</x:f>
      </x:c>
      <x:c r="H149" s="138" t="str">
        <x:f>IF(G149="","",G149/60)</x:f>
      </x:c>
      <x:c r="I149" s="141"/>
    </x:row>
    <x:row r="150">
      <x:c r="A150" s="139"/>
      <x:c r="B150" s="117"/>
      <x:c r="C150" s="117"/>
      <x:c r="D150" s="117"/>
      <x:c r="E150" s="118"/>
      <x:c r="F150" s="140"/>
      <x:c r="G150" s="137" t="str">
        <x:f>IF(OR(E150="",F150=""),"",(F150-E150)*1440)</x:f>
      </x:c>
      <x:c r="H150" s="138" t="str">
        <x:f>IF(G150="","",G150/60)</x:f>
      </x:c>
      <x:c r="I150" s="141"/>
    </x:row>
    <x:row r="151">
      <x:c r="A151" s="139"/>
      <x:c r="B151" s="117"/>
      <x:c r="C151" s="117"/>
      <x:c r="D151" s="117"/>
      <x:c r="E151" s="118"/>
      <x:c r="F151" s="140"/>
      <x:c r="G151" s="137" t="str">
        <x:f>IF(OR(E151="",F151=""),"",(F151-E151)*1440)</x:f>
      </x:c>
      <x:c r="H151" s="138" t="str">
        <x:f>IF(G151="","",G151/60)</x:f>
      </x:c>
      <x:c r="I151" s="141"/>
    </x:row>
    <x:row r="152">
      <x:c r="A152" s="139"/>
      <x:c r="B152" s="117"/>
      <x:c r="C152" s="117"/>
      <x:c r="D152" s="117"/>
      <x:c r="E152" s="118"/>
      <x:c r="F152" s="140"/>
      <x:c r="G152" s="137" t="str">
        <x:f>IF(OR(E152="",F152=""),"",(F152-E152)*1440)</x:f>
      </x:c>
      <x:c r="H152" s="138" t="str">
        <x:f>IF(G152="","",G152/60)</x:f>
      </x:c>
      <x:c r="I152" s="141"/>
    </x:row>
    <x:row r="153">
      <x:c r="A153" s="139"/>
      <x:c r="B153" s="117"/>
      <x:c r="C153" s="117"/>
      <x:c r="D153" s="117"/>
      <x:c r="E153" s="118"/>
      <x:c r="F153" s="140"/>
      <x:c r="G153" s="137" t="str">
        <x:f>IF(OR(E153="",F153=""),"",(F153-E153)*1440)</x:f>
      </x:c>
      <x:c r="H153" s="138" t="str">
        <x:f>IF(G153="","",G153/60)</x:f>
      </x:c>
      <x:c r="I153" s="141"/>
    </x:row>
    <x:row r="154">
      <x:c r="A154" s="139"/>
      <x:c r="B154" s="117"/>
      <x:c r="C154" s="117"/>
      <x:c r="D154" s="117"/>
      <x:c r="E154" s="118"/>
      <x:c r="F154" s="140"/>
      <x:c r="G154" s="137" t="str">
        <x:f>IF(OR(E154="",F154=""),"",(F154-E154)*1440)</x:f>
      </x:c>
      <x:c r="H154" s="138" t="str">
        <x:f>IF(G154="","",G154/60)</x:f>
      </x:c>
      <x:c r="I154" s="141"/>
    </x:row>
    <x:row r="155">
      <x:c r="A155" s="139"/>
      <x:c r="B155" s="117"/>
      <x:c r="C155" s="117"/>
      <x:c r="D155" s="117"/>
      <x:c r="E155" s="118"/>
      <x:c r="F155" s="140"/>
      <x:c r="G155" s="137" t="str">
        <x:f>IF(OR(E155="",F155=""),"",(F155-E155)*1440)</x:f>
      </x:c>
      <x:c r="H155" s="138" t="str">
        <x:f>IF(G155="","",G155/60)</x:f>
      </x:c>
      <x:c r="I155" s="141"/>
    </x:row>
    <x:row r="156">
      <x:c r="A156" s="139"/>
      <x:c r="B156" s="117"/>
      <x:c r="C156" s="117"/>
      <x:c r="D156" s="117"/>
      <x:c r="E156" s="118"/>
      <x:c r="F156" s="140"/>
      <x:c r="G156" s="137" t="str">
        <x:f>IF(OR(E156="",F156=""),"",(F156-E156)*1440)</x:f>
      </x:c>
      <x:c r="H156" s="138" t="str">
        <x:f>IF(G156="","",G156/60)</x:f>
      </x:c>
      <x:c r="I156" s="141"/>
    </x:row>
    <x:row r="157">
      <x:c r="A157" s="139"/>
      <x:c r="B157" s="117"/>
      <x:c r="C157" s="117"/>
      <x:c r="D157" s="117"/>
      <x:c r="E157" s="118"/>
      <x:c r="F157" s="140"/>
      <x:c r="G157" s="137" t="str">
        <x:f>IF(OR(E157="",F157=""),"",(F157-E157)*1440)</x:f>
      </x:c>
      <x:c r="H157" s="138" t="str">
        <x:f>IF(G157="","",G157/60)</x:f>
      </x:c>
      <x:c r="I157" s="141"/>
    </x:row>
    <x:row r="158">
      <x:c r="A158" s="139"/>
      <x:c r="B158" s="117"/>
      <x:c r="C158" s="117"/>
      <x:c r="D158" s="117"/>
      <x:c r="E158" s="118"/>
      <x:c r="F158" s="140"/>
      <x:c r="G158" s="137" t="str">
        <x:f>IF(OR(E158="",F158=""),"",(F158-E158)*1440)</x:f>
      </x:c>
      <x:c r="H158" s="138" t="str">
        <x:f>IF(G158="","",G158/60)</x:f>
      </x:c>
      <x:c r="I158" s="141"/>
    </x:row>
    <x:row r="159">
      <x:c r="A159" s="139"/>
      <x:c r="B159" s="117"/>
      <x:c r="C159" s="117"/>
      <x:c r="D159" s="117"/>
      <x:c r="E159" s="118"/>
      <x:c r="F159" s="140"/>
      <x:c r="G159" s="137" t="str">
        <x:f>IF(OR(E159="",F159=""),"",(F159-E159)*1440)</x:f>
      </x:c>
      <x:c r="H159" s="138" t="str">
        <x:f>IF(G159="","",G159/60)</x:f>
      </x:c>
      <x:c r="I159" s="141"/>
    </x:row>
    <x:row r="160">
      <x:c r="A160" s="139"/>
      <x:c r="B160" s="117"/>
      <x:c r="C160" s="117"/>
      <x:c r="D160" s="117"/>
      <x:c r="E160" s="118"/>
      <x:c r="F160" s="140"/>
      <x:c r="G160" s="137" t="str">
        <x:f>IF(OR(E160="",F160=""),"",(F160-E160)*1440)</x:f>
      </x:c>
      <x:c r="H160" s="138" t="str">
        <x:f>IF(G160="","",G160/60)</x:f>
      </x:c>
      <x:c r="I160" s="141"/>
    </x:row>
    <x:row r="161">
      <x:c r="A161" s="139"/>
      <x:c r="B161" s="117"/>
      <x:c r="C161" s="117"/>
      <x:c r="D161" s="117"/>
      <x:c r="E161" s="118"/>
      <x:c r="F161" s="140"/>
      <x:c r="G161" s="137" t="str">
        <x:f>IF(OR(E161="",F161=""),"",(F161-E161)*1440)</x:f>
      </x:c>
      <x:c r="H161" s="138" t="str">
        <x:f>IF(G161="","",G161/60)</x:f>
      </x:c>
      <x:c r="I161" s="141"/>
    </x:row>
    <x:row r="162">
      <x:c r="A162" s="139"/>
      <x:c r="B162" s="117"/>
      <x:c r="C162" s="117"/>
      <x:c r="D162" s="117"/>
      <x:c r="E162" s="118"/>
      <x:c r="F162" s="140"/>
      <x:c r="G162" s="137" t="str">
        <x:f>IF(OR(E162="",F162=""),"",(F162-E162)*1440)</x:f>
      </x:c>
      <x:c r="H162" s="138" t="str">
        <x:f>IF(G162="","",G162/60)</x:f>
      </x:c>
      <x:c r="I162" s="141"/>
    </x:row>
    <x:row r="163">
      <x:c r="A163" s="139"/>
      <x:c r="B163" s="117"/>
      <x:c r="C163" s="117"/>
      <x:c r="D163" s="117"/>
      <x:c r="E163" s="118"/>
      <x:c r="F163" s="140"/>
      <x:c r="G163" s="137" t="str">
        <x:f>IF(OR(E163="",F163=""),"",(F163-E163)*1440)</x:f>
      </x:c>
      <x:c r="H163" s="138" t="str">
        <x:f>IF(G163="","",G163/60)</x:f>
      </x:c>
      <x:c r="I163" s="141"/>
    </x:row>
    <x:row r="164">
      <x:c r="A164" s="139"/>
      <x:c r="B164" s="117"/>
      <x:c r="C164" s="117"/>
      <x:c r="D164" s="117"/>
      <x:c r="E164" s="118"/>
      <x:c r="F164" s="140"/>
      <x:c r="G164" s="137" t="str">
        <x:f>IF(OR(E164="",F164=""),"",(F164-E164)*1440)</x:f>
      </x:c>
      <x:c r="H164" s="138" t="str">
        <x:f>IF(G164="","",G164/60)</x:f>
      </x:c>
      <x:c r="I164" s="141"/>
    </x:row>
    <x:row r="165">
      <x:c r="A165" s="139"/>
      <x:c r="B165" s="117"/>
      <x:c r="C165" s="117"/>
      <x:c r="D165" s="117"/>
      <x:c r="E165" s="118"/>
      <x:c r="F165" s="140"/>
      <x:c r="G165" s="137" t="str">
        <x:f>IF(OR(E165="",F165=""),"",(F165-E165)*1440)</x:f>
      </x:c>
      <x:c r="H165" s="138" t="str">
        <x:f>IF(G165="","",G165/60)</x:f>
      </x:c>
      <x:c r="I165" s="141"/>
    </x:row>
    <x:row r="166">
      <x:c r="A166" s="139"/>
      <x:c r="B166" s="117"/>
      <x:c r="C166" s="117"/>
      <x:c r="D166" s="117"/>
      <x:c r="E166" s="118"/>
      <x:c r="F166" s="140"/>
      <x:c r="G166" s="137" t="str">
        <x:f>IF(OR(E166="",F166=""),"",(F166-E166)*1440)</x:f>
      </x:c>
      <x:c r="H166" s="138" t="str">
        <x:f>IF(G166="","",G166/60)</x:f>
      </x:c>
      <x:c r="I166" s="141"/>
    </x:row>
    <x:row r="167">
      <x:c r="A167" s="139"/>
      <x:c r="B167" s="117"/>
      <x:c r="C167" s="117"/>
      <x:c r="D167" s="117"/>
      <x:c r="E167" s="118"/>
      <x:c r="F167" s="140"/>
      <x:c r="G167" s="137" t="str">
        <x:f>IF(OR(E167="",F167=""),"",(F167-E167)*1440)</x:f>
      </x:c>
      <x:c r="H167" s="138" t="str">
        <x:f>IF(G167="","",G167/60)</x:f>
      </x:c>
      <x:c r="I167" s="141"/>
    </x:row>
    <x:row r="168">
      <x:c r="A168" s="139"/>
      <x:c r="B168" s="117"/>
      <x:c r="C168" s="117"/>
      <x:c r="D168" s="117"/>
      <x:c r="E168" s="118"/>
      <x:c r="F168" s="140"/>
      <x:c r="G168" s="137" t="str">
        <x:f>IF(OR(E168="",F168=""),"",(F168-E168)*1440)</x:f>
      </x:c>
      <x:c r="H168" s="138" t="str">
        <x:f>IF(G168="","",G168/60)</x:f>
      </x:c>
      <x:c r="I168" s="141"/>
    </x:row>
    <x:row r="169">
      <x:c r="A169" s="139"/>
      <x:c r="B169" s="117"/>
      <x:c r="C169" s="117"/>
      <x:c r="D169" s="117"/>
      <x:c r="E169" s="118"/>
      <x:c r="F169" s="140"/>
      <x:c r="G169" s="137" t="str">
        <x:f>IF(OR(E169="",F169=""),"",(F169-E169)*1440)</x:f>
      </x:c>
      <x:c r="H169" s="138" t="str">
        <x:f>IF(G169="","",G169/60)</x:f>
      </x:c>
      <x:c r="I169" s="141"/>
    </x:row>
    <x:row r="170">
      <x:c r="A170" s="139"/>
      <x:c r="B170" s="117"/>
      <x:c r="C170" s="117"/>
      <x:c r="D170" s="117"/>
      <x:c r="E170" s="118"/>
      <x:c r="F170" s="140"/>
      <x:c r="G170" s="137" t="str">
        <x:f>IF(OR(E170="",F170=""),"",(F170-E170)*1440)</x:f>
      </x:c>
      <x:c r="H170" s="138" t="str">
        <x:f>IF(G170="","",G170/60)</x:f>
      </x:c>
      <x:c r="I170" s="141"/>
    </x:row>
    <x:row r="171">
      <x:c r="A171" s="139"/>
      <x:c r="B171" s="117"/>
      <x:c r="C171" s="117"/>
      <x:c r="D171" s="117"/>
      <x:c r="E171" s="118"/>
      <x:c r="F171" s="140"/>
      <x:c r="G171" s="137" t="str">
        <x:f>IF(OR(E171="",F171=""),"",(F171-E171)*1440)</x:f>
      </x:c>
      <x:c r="H171" s="138" t="str">
        <x:f>IF(G171="","",G171/60)</x:f>
      </x:c>
      <x:c r="I171" s="141"/>
    </x:row>
    <x:row r="172">
      <x:c r="A172" s="139"/>
      <x:c r="B172" s="117"/>
      <x:c r="C172" s="117"/>
      <x:c r="D172" s="117"/>
      <x:c r="E172" s="118"/>
      <x:c r="F172" s="140"/>
      <x:c r="G172" s="137" t="str">
        <x:f>IF(OR(E172="",F172=""),"",(F172-E172)*1440)</x:f>
      </x:c>
      <x:c r="H172" s="138" t="str">
        <x:f>IF(G172="","",G172/60)</x:f>
      </x:c>
      <x:c r="I172" s="141"/>
    </x:row>
    <x:row r="173">
      <x:c r="A173" s="139"/>
      <x:c r="B173" s="117"/>
      <x:c r="C173" s="117"/>
      <x:c r="D173" s="117"/>
      <x:c r="E173" s="118"/>
      <x:c r="F173" s="140"/>
      <x:c r="G173" s="137" t="str">
        <x:f>IF(OR(E173="",F173=""),"",(F173-E173)*1440)</x:f>
      </x:c>
      <x:c r="H173" s="138" t="str">
        <x:f>IF(G173="","",G173/60)</x:f>
      </x:c>
      <x:c r="I173" s="141"/>
    </x:row>
    <x:row r="174">
      <x:c r="A174" s="139"/>
      <x:c r="B174" s="117"/>
      <x:c r="C174" s="117"/>
      <x:c r="D174" s="117"/>
      <x:c r="E174" s="118"/>
      <x:c r="F174" s="140"/>
      <x:c r="G174" s="137" t="str">
        <x:f>IF(OR(E174="",F174=""),"",(F174-E174)*1440)</x:f>
      </x:c>
      <x:c r="H174" s="138" t="str">
        <x:f>IF(G174="","",G174/60)</x:f>
      </x:c>
      <x:c r="I174" s="141"/>
    </x:row>
    <x:row r="175">
      <x:c r="A175" s="139"/>
      <x:c r="B175" s="117"/>
      <x:c r="C175" s="117"/>
      <x:c r="D175" s="117"/>
      <x:c r="E175" s="118"/>
      <x:c r="F175" s="140"/>
      <x:c r="G175" s="137" t="str">
        <x:f>IF(OR(E175="",F175=""),"",(F175-E175)*1440)</x:f>
      </x:c>
      <x:c r="H175" s="138" t="str">
        <x:f>IF(G175="","",G175/60)</x:f>
      </x:c>
      <x:c r="I175" s="141"/>
    </x:row>
    <x:row r="176">
      <x:c r="A176" s="139"/>
      <x:c r="B176" s="117"/>
      <x:c r="C176" s="117"/>
      <x:c r="D176" s="117"/>
      <x:c r="E176" s="118"/>
      <x:c r="F176" s="140"/>
      <x:c r="G176" s="137" t="str">
        <x:f>IF(OR(E176="",F176=""),"",(F176-E176)*1440)</x:f>
      </x:c>
      <x:c r="H176" s="138" t="str">
        <x:f>IF(G176="","",G176/60)</x:f>
      </x:c>
      <x:c r="I176" s="141"/>
    </x:row>
    <x:row r="177">
      <x:c r="A177" s="139"/>
      <x:c r="B177" s="117"/>
      <x:c r="C177" s="117"/>
      <x:c r="D177" s="117"/>
      <x:c r="E177" s="118"/>
      <x:c r="F177" s="140"/>
      <x:c r="G177" s="137" t="str">
        <x:f>IF(OR(E177="",F177=""),"",(F177-E177)*1440)</x:f>
      </x:c>
      <x:c r="H177" s="138" t="str">
        <x:f>IF(G177="","",G177/60)</x:f>
      </x:c>
      <x:c r="I177" s="141"/>
    </x:row>
    <x:row r="178">
      <x:c r="A178" s="139"/>
      <x:c r="B178" s="117"/>
      <x:c r="C178" s="117"/>
      <x:c r="D178" s="117"/>
      <x:c r="E178" s="118"/>
      <x:c r="F178" s="140"/>
      <x:c r="G178" s="137" t="str">
        <x:f>IF(OR(E178="",F178=""),"",(F178-E178)*1440)</x:f>
      </x:c>
      <x:c r="H178" s="138" t="str">
        <x:f>IF(G178="","",G178/60)</x:f>
      </x:c>
      <x:c r="I178" s="141"/>
    </x:row>
    <x:row r="179">
      <x:c r="A179" s="139"/>
      <x:c r="B179" s="117"/>
      <x:c r="C179" s="117"/>
      <x:c r="D179" s="117"/>
      <x:c r="E179" s="118"/>
      <x:c r="F179" s="140"/>
      <x:c r="G179" s="137" t="str">
        <x:f>IF(OR(E179="",F179=""),"",(F179-E179)*1440)</x:f>
      </x:c>
      <x:c r="H179" s="138" t="str">
        <x:f>IF(G179="","",G179/60)</x:f>
      </x:c>
      <x:c r="I179" s="141"/>
    </x:row>
    <x:row r="180">
      <x:c r="A180" s="139"/>
      <x:c r="B180" s="117"/>
      <x:c r="C180" s="117"/>
      <x:c r="D180" s="117"/>
      <x:c r="E180" s="118"/>
      <x:c r="F180" s="140"/>
      <x:c r="G180" s="137" t="str">
        <x:f>IF(OR(E180="",F180=""),"",(F180-E180)*1440)</x:f>
      </x:c>
      <x:c r="H180" s="138" t="str">
        <x:f>IF(G180="","",G180/60)</x:f>
      </x:c>
      <x:c r="I180" s="141"/>
    </x:row>
    <x:row r="181">
      <x:c r="A181" s="139"/>
      <x:c r="B181" s="117"/>
      <x:c r="C181" s="117"/>
      <x:c r="D181" s="117"/>
      <x:c r="E181" s="118"/>
      <x:c r="F181" s="140"/>
      <x:c r="G181" s="137" t="str">
        <x:f>IF(OR(E181="",F181=""),"",(F181-E181)*1440)</x:f>
      </x:c>
      <x:c r="H181" s="138" t="str">
        <x:f>IF(G181="","",G181/60)</x:f>
      </x:c>
      <x:c r="I181" s="141"/>
    </x:row>
    <x:row r="182">
      <x:c r="A182" s="139"/>
      <x:c r="B182" s="117"/>
      <x:c r="C182" s="117"/>
      <x:c r="D182" s="117"/>
      <x:c r="E182" s="118"/>
      <x:c r="F182" s="140"/>
      <x:c r="G182" s="137" t="str">
        <x:f>IF(OR(E182="",F182=""),"",(F182-E182)*1440)</x:f>
      </x:c>
      <x:c r="H182" s="138" t="str">
        <x:f>IF(G182="","",G182/60)</x:f>
      </x:c>
      <x:c r="I182" s="141"/>
    </x:row>
    <x:row r="183">
      <x:c r="A183" s="139"/>
      <x:c r="B183" s="117"/>
      <x:c r="C183" s="117"/>
      <x:c r="D183" s="117"/>
      <x:c r="E183" s="118"/>
      <x:c r="F183" s="140"/>
      <x:c r="G183" s="137" t="str">
        <x:f>IF(OR(E183="",F183=""),"",(F183-E183)*1440)</x:f>
      </x:c>
      <x:c r="H183" s="138" t="str">
        <x:f>IF(G183="","",G183/60)</x:f>
      </x:c>
      <x:c r="I183" s="141"/>
    </x:row>
    <x:row r="184">
      <x:c r="A184" s="139"/>
      <x:c r="B184" s="117"/>
      <x:c r="C184" s="117"/>
      <x:c r="D184" s="117"/>
      <x:c r="E184" s="118"/>
      <x:c r="F184" s="140"/>
      <x:c r="G184" s="137" t="str">
        <x:f>IF(OR(E184="",F184=""),"",(F184-E184)*1440)</x:f>
      </x:c>
      <x:c r="H184" s="138" t="str">
        <x:f>IF(G184="","",G184/60)</x:f>
      </x:c>
      <x:c r="I184" s="141"/>
    </x:row>
    <x:row r="185">
      <x:c r="A185" s="139"/>
      <x:c r="B185" s="117"/>
      <x:c r="C185" s="117"/>
      <x:c r="D185" s="117"/>
      <x:c r="E185" s="118"/>
      <x:c r="F185" s="140"/>
      <x:c r="G185" s="137" t="str">
        <x:f>IF(OR(E185="",F185=""),"",(F185-E185)*1440)</x:f>
      </x:c>
      <x:c r="H185" s="138" t="str">
        <x:f>IF(G185="","",G185/60)</x:f>
      </x:c>
      <x:c r="I185" s="141"/>
    </x:row>
    <x:row r="186">
      <x:c r="A186" s="139"/>
      <x:c r="B186" s="117"/>
      <x:c r="C186" s="117"/>
      <x:c r="D186" s="117"/>
      <x:c r="E186" s="118"/>
      <x:c r="F186" s="140"/>
      <x:c r="G186" s="137" t="str">
        <x:f>IF(OR(E186="",F186=""),"",(F186-E186)*1440)</x:f>
      </x:c>
      <x:c r="H186" s="138" t="str">
        <x:f>IF(G186="","",G186/60)</x:f>
      </x:c>
      <x:c r="I186" s="141"/>
    </x:row>
    <x:row r="187">
      <x:c r="A187" s="139"/>
      <x:c r="B187" s="117"/>
      <x:c r="C187" s="117"/>
      <x:c r="D187" s="117"/>
      <x:c r="E187" s="118"/>
      <x:c r="F187" s="140"/>
      <x:c r="G187" s="137" t="str">
        <x:f>IF(OR(E187="",F187=""),"",(F187-E187)*1440)</x:f>
      </x:c>
      <x:c r="H187" s="138" t="str">
        <x:f>IF(G187="","",G187/60)</x:f>
      </x:c>
      <x:c r="I187" s="141"/>
    </x:row>
    <x:row r="188">
      <x:c r="A188" s="139"/>
      <x:c r="B188" s="117"/>
      <x:c r="C188" s="117"/>
      <x:c r="D188" s="117"/>
      <x:c r="E188" s="118"/>
      <x:c r="F188" s="140"/>
      <x:c r="G188" s="137" t="str">
        <x:f>IF(OR(E188="",F188=""),"",(F188-E188)*1440)</x:f>
      </x:c>
      <x:c r="H188" s="138" t="str">
        <x:f>IF(G188="","",G188/60)</x:f>
      </x:c>
      <x:c r="I188" s="141"/>
    </x:row>
    <x:row r="189">
      <x:c r="A189" s="139"/>
      <x:c r="B189" s="117"/>
      <x:c r="C189" s="117"/>
      <x:c r="D189" s="117"/>
      <x:c r="E189" s="118"/>
      <x:c r="F189" s="140"/>
      <x:c r="G189" s="137" t="str">
        <x:f>IF(OR(E189="",F189=""),"",(F189-E189)*1440)</x:f>
      </x:c>
      <x:c r="H189" s="138" t="str">
        <x:f>IF(G189="","",G189/60)</x:f>
      </x:c>
      <x:c r="I189" s="141"/>
    </x:row>
    <x:row r="190">
      <x:c r="A190" s="139"/>
      <x:c r="B190" s="117"/>
      <x:c r="C190" s="117"/>
      <x:c r="D190" s="117"/>
      <x:c r="E190" s="118"/>
      <x:c r="F190" s="140"/>
      <x:c r="G190" s="137" t="str">
        <x:f>IF(OR(E190="",F190=""),"",(F190-E190)*1440)</x:f>
      </x:c>
      <x:c r="H190" s="138" t="str">
        <x:f>IF(G190="","",G190/60)</x:f>
      </x:c>
      <x:c r="I190" s="141"/>
    </x:row>
    <x:row r="191">
      <x:c r="A191" s="139"/>
      <x:c r="B191" s="117"/>
      <x:c r="C191" s="117"/>
      <x:c r="D191" s="117"/>
      <x:c r="E191" s="118"/>
      <x:c r="F191" s="140"/>
      <x:c r="G191" s="137" t="str">
        <x:f>IF(OR(E191="",F191=""),"",(F191-E191)*1440)</x:f>
      </x:c>
      <x:c r="H191" s="138" t="str">
        <x:f>IF(G191="","",G191/60)</x:f>
      </x:c>
      <x:c r="I191" s="141"/>
    </x:row>
    <x:row r="192">
      <x:c r="A192" s="139"/>
      <x:c r="B192" s="117"/>
      <x:c r="C192" s="117"/>
      <x:c r="D192" s="117"/>
      <x:c r="E192" s="118"/>
      <x:c r="F192" s="140"/>
      <x:c r="G192" s="137" t="str">
        <x:f>IF(OR(E192="",F192=""),"",(F192-E192)*1440)</x:f>
      </x:c>
      <x:c r="H192" s="138" t="str">
        <x:f>IF(G192="","",G192/60)</x:f>
      </x:c>
      <x:c r="I192" s="141"/>
    </x:row>
    <x:row r="193">
      <x:c r="A193" s="139"/>
      <x:c r="B193" s="117"/>
      <x:c r="C193" s="117"/>
      <x:c r="D193" s="117"/>
      <x:c r="E193" s="118"/>
      <x:c r="F193" s="140"/>
      <x:c r="G193" s="137" t="str">
        <x:f>IF(OR(E193="",F193=""),"",(F193-E193)*1440)</x:f>
      </x:c>
      <x:c r="H193" s="138" t="str">
        <x:f>IF(G193="","",G193/60)</x:f>
      </x:c>
      <x:c r="I193" s="141"/>
    </x:row>
    <x:row r="194">
      <x:c r="A194" s="139"/>
      <x:c r="B194" s="117"/>
      <x:c r="C194" s="117"/>
      <x:c r="D194" s="117"/>
      <x:c r="E194" s="118"/>
      <x:c r="F194" s="140"/>
      <x:c r="G194" s="137" t="str">
        <x:f>IF(OR(E194="",F194=""),"",(F194-E194)*1440)</x:f>
      </x:c>
      <x:c r="H194" s="138" t="str">
        <x:f>IF(G194="","",G194/60)</x:f>
      </x:c>
      <x:c r="I194" s="141"/>
    </x:row>
    <x:row r="195">
      <x:c r="A195" s="139"/>
      <x:c r="B195" s="117"/>
      <x:c r="C195" s="117"/>
      <x:c r="D195" s="117"/>
      <x:c r="E195" s="118"/>
      <x:c r="F195" s="140"/>
      <x:c r="G195" s="137" t="str">
        <x:f>IF(OR(E195="",F195=""),"",(F195-E195)*1440)</x:f>
      </x:c>
      <x:c r="H195" s="138" t="str">
        <x:f>IF(G195="","",G195/60)</x:f>
      </x:c>
      <x:c r="I195" s="141"/>
    </x:row>
    <x:row r="196">
      <x:c r="A196" s="139"/>
      <x:c r="B196" s="117"/>
      <x:c r="C196" s="117"/>
      <x:c r="D196" s="117"/>
      <x:c r="E196" s="118"/>
      <x:c r="F196" s="140"/>
      <x:c r="G196" s="137" t="str">
        <x:f>IF(OR(E196="",F196=""),"",(F196-E196)*1440)</x:f>
      </x:c>
      <x:c r="H196" s="138" t="str">
        <x:f>IF(G196="","",G196/60)</x:f>
      </x:c>
      <x:c r="I196" s="141"/>
    </x:row>
    <x:row r="197">
      <x:c r="A197" s="139"/>
      <x:c r="B197" s="117"/>
      <x:c r="C197" s="117"/>
      <x:c r="D197" s="117"/>
      <x:c r="E197" s="118"/>
      <x:c r="F197" s="140"/>
      <x:c r="G197" s="137" t="str">
        <x:f>IF(OR(E197="",F197=""),"",(F197-E197)*1440)</x:f>
      </x:c>
      <x:c r="H197" s="138" t="str">
        <x:f>IF(G197="","",G197/60)</x:f>
      </x:c>
      <x:c r="I197" s="141"/>
    </x:row>
    <x:row r="198">
      <x:c r="A198" s="139"/>
      <x:c r="B198" s="117"/>
      <x:c r="C198" s="117"/>
      <x:c r="D198" s="117"/>
      <x:c r="E198" s="118"/>
      <x:c r="F198" s="140"/>
      <x:c r="G198" s="137" t="str">
        <x:f>IF(OR(E198="",F198=""),"",(F198-E198)*1440)</x:f>
      </x:c>
      <x:c r="H198" s="138" t="str">
        <x:f>IF(G198="","",G198/60)</x:f>
      </x:c>
      <x:c r="I198" s="141"/>
    </x:row>
    <x:row r="199">
      <x:c r="A199" s="139"/>
      <x:c r="B199" s="117"/>
      <x:c r="C199" s="117"/>
      <x:c r="D199" s="117"/>
      <x:c r="E199" s="118"/>
      <x:c r="F199" s="140"/>
      <x:c r="G199" s="137" t="str">
        <x:f>IF(OR(E199="",F199=""),"",(F199-E199)*1440)</x:f>
      </x:c>
      <x:c r="H199" s="138" t="str">
        <x:f>IF(G199="","",G199/60)</x:f>
      </x:c>
      <x:c r="I199" s="141"/>
    </x:row>
    <x:row r="200">
      <x:c r="A200" s="139"/>
      <x:c r="B200" s="117"/>
      <x:c r="C200" s="117"/>
      <x:c r="D200" s="117"/>
      <x:c r="E200" s="118"/>
      <x:c r="F200" s="140"/>
      <x:c r="G200" s="137" t="str">
        <x:f>IF(OR(E200="",F200=""),"",(F200-E200)*1440)</x:f>
      </x:c>
      <x:c r="H200" s="138" t="str">
        <x:f>IF(G200="","",G200/60)</x:f>
      </x:c>
      <x:c r="I200" s="141"/>
    </x:row>
    <x:row r="201">
      <x:c r="A201" s="139"/>
      <x:c r="B201" s="117"/>
      <x:c r="C201" s="117"/>
      <x:c r="D201" s="117"/>
      <x:c r="E201" s="118"/>
      <x:c r="F201" s="140"/>
      <x:c r="G201" s="137" t="str">
        <x:f>IF(OR(E201="",F201=""),"",(F201-E201)*1440)</x:f>
      </x:c>
      <x:c r="H201" s="138" t="str">
        <x:f>IF(G201="","",G201/60)</x:f>
      </x:c>
      <x:c r="I201" s="141"/>
    </x:row>
    <x:row r="202">
      <x:c r="A202" s="139"/>
      <x:c r="B202" s="117"/>
      <x:c r="C202" s="117"/>
      <x:c r="D202" s="117"/>
      <x:c r="E202" s="118"/>
      <x:c r="F202" s="140"/>
      <x:c r="G202" s="137" t="str">
        <x:f>IF(OR(E202="",F202=""),"",(F202-E202)*1440)</x:f>
      </x:c>
      <x:c r="H202" s="138" t="str">
        <x:f>IF(G202="","",G202/60)</x:f>
      </x:c>
      <x:c r="I202" s="141"/>
    </x:row>
    <x:row r="203">
      <x:c r="A203" s="139"/>
      <x:c r="B203" s="117"/>
      <x:c r="C203" s="117"/>
      <x:c r="D203" s="117"/>
      <x:c r="E203" s="118"/>
      <x:c r="F203" s="140"/>
      <x:c r="G203" s="137" t="str">
        <x:f>IF(OR(E203="",F203=""),"",(F203-E203)*1440)</x:f>
      </x:c>
      <x:c r="H203" s="138" t="str">
        <x:f>IF(G203="","",G203/60)</x:f>
      </x:c>
      <x:c r="I203" s="141"/>
    </x:row>
    <x:row r="204">
      <x:c r="A204" s="139"/>
      <x:c r="B204" s="117"/>
      <x:c r="C204" s="117"/>
      <x:c r="D204" s="117"/>
      <x:c r="E204" s="118"/>
      <x:c r="F204" s="140"/>
      <x:c r="G204" s="137" t="str">
        <x:f>IF(OR(E204="",F204=""),"",(F204-E204)*1440)</x:f>
      </x:c>
      <x:c r="H204" s="138" t="str">
        <x:f>IF(G204="","",G204/60)</x:f>
      </x:c>
      <x:c r="I204" s="141"/>
    </x:row>
    <x:row r="205">
      <x:c r="A205" s="139"/>
      <x:c r="B205" s="117"/>
      <x:c r="C205" s="117"/>
      <x:c r="D205" s="117"/>
      <x:c r="E205" s="118"/>
      <x:c r="F205" s="140"/>
      <x:c r="G205" s="137" t="str">
        <x:f>IF(OR(E205="",F205=""),"",(F205-E205)*1440)</x:f>
      </x:c>
      <x:c r="H205" s="138" t="str">
        <x:f>IF(G205="","",G205/60)</x:f>
      </x:c>
      <x:c r="I205" s="141"/>
    </x:row>
    <x:row r="206">
      <x:c r="A206" s="139"/>
      <x:c r="B206" s="117"/>
      <x:c r="C206" s="117"/>
      <x:c r="D206" s="117"/>
      <x:c r="E206" s="118"/>
      <x:c r="F206" s="140"/>
      <x:c r="G206" s="137" t="str">
        <x:f>IF(OR(E206="",F206=""),"",(F206-E206)*1440)</x:f>
      </x:c>
      <x:c r="H206" s="138" t="str">
        <x:f>IF(G206="","",G206/60)</x:f>
      </x:c>
      <x:c r="I206" s="141"/>
    </x:row>
    <x:row r="207">
      <x:c r="A207" s="139"/>
      <x:c r="B207" s="117"/>
      <x:c r="C207" s="117"/>
      <x:c r="D207" s="117"/>
      <x:c r="E207" s="118"/>
      <x:c r="F207" s="140"/>
      <x:c r="G207" s="137" t="str">
        <x:f>IF(OR(E207="",F207=""),"",(F207-E207)*1440)</x:f>
      </x:c>
      <x:c r="H207" s="138" t="str">
        <x:f>IF(G207="","",G207/60)</x:f>
      </x:c>
      <x:c r="I207" s="141"/>
    </x:row>
    <x:row r="208">
      <x:c r="A208" s="139"/>
      <x:c r="B208" s="117"/>
      <x:c r="C208" s="117"/>
      <x:c r="D208" s="117"/>
      <x:c r="E208" s="118"/>
      <x:c r="F208" s="140"/>
      <x:c r="G208" s="137" t="str">
        <x:f>IF(OR(E208="",F208=""),"",(F208-E208)*1440)</x:f>
      </x:c>
      <x:c r="H208" s="138" t="str">
        <x:f>IF(G208="","",G208/60)</x:f>
      </x:c>
      <x:c r="I208" s="141"/>
    </x:row>
    <x:row r="209">
      <x:c r="A209" s="139"/>
      <x:c r="B209" s="117"/>
      <x:c r="C209" s="117"/>
      <x:c r="D209" s="117"/>
      <x:c r="E209" s="118"/>
      <x:c r="F209" s="140"/>
      <x:c r="G209" s="137" t="str">
        <x:f>IF(OR(E209="",F209=""),"",(F209-E209)*1440)</x:f>
      </x:c>
      <x:c r="H209" s="138" t="str">
        <x:f>IF(G209="","",G209/60)</x:f>
      </x:c>
      <x:c r="I209" s="141"/>
    </x:row>
    <x:row r="210">
      <x:c r="A210" s="139"/>
      <x:c r="B210" s="117"/>
      <x:c r="C210" s="117"/>
      <x:c r="D210" s="117"/>
      <x:c r="E210" s="118"/>
      <x:c r="F210" s="140"/>
      <x:c r="G210" s="137" t="str">
        <x:f>IF(OR(E210="",F210=""),"",(F210-E210)*1440)</x:f>
      </x:c>
      <x:c r="H210" s="138" t="str">
        <x:f>IF(G210="","",G210/60)</x:f>
      </x:c>
      <x:c r="I210" s="141"/>
    </x:row>
    <x:row r="211">
      <x:c r="A211" s="139"/>
      <x:c r="B211" s="117"/>
      <x:c r="C211" s="117"/>
      <x:c r="D211" s="117"/>
      <x:c r="E211" s="118"/>
      <x:c r="F211" s="140"/>
      <x:c r="G211" s="137" t="str">
        <x:f>IF(OR(E211="",F211=""),"",(F211-E211)*1440)</x:f>
      </x:c>
      <x:c r="H211" s="138" t="str">
        <x:f>IF(G211="","",G211/60)</x:f>
      </x:c>
      <x:c r="I211" s="141"/>
    </x:row>
    <x:row r="212">
      <x:c r="A212" s="139"/>
      <x:c r="B212" s="117"/>
      <x:c r="C212" s="117"/>
      <x:c r="D212" s="117"/>
      <x:c r="E212" s="118"/>
      <x:c r="F212" s="140"/>
      <x:c r="G212" s="137" t="str">
        <x:f>IF(OR(E212="",F212=""),"",(F212-E212)*1440)</x:f>
      </x:c>
      <x:c r="H212" s="138" t="str">
        <x:f>IF(G212="","",G212/60)</x:f>
      </x:c>
      <x:c r="I212" s="141"/>
    </x:row>
    <x:row r="213">
      <x:c r="A213" s="139"/>
      <x:c r="B213" s="117"/>
      <x:c r="C213" s="117"/>
      <x:c r="D213" s="117"/>
      <x:c r="E213" s="118"/>
      <x:c r="F213" s="140"/>
      <x:c r="G213" s="137" t="str">
        <x:f>IF(OR(E213="",F213=""),"",(F213-E213)*1440)</x:f>
      </x:c>
      <x:c r="H213" s="138" t="str">
        <x:f>IF(G213="","",G213/60)</x:f>
      </x:c>
      <x:c r="I213" s="141"/>
    </x:row>
    <x:row r="214">
      <x:c r="A214" s="139"/>
      <x:c r="B214" s="117"/>
      <x:c r="C214" s="117"/>
      <x:c r="D214" s="117"/>
      <x:c r="E214" s="118"/>
      <x:c r="F214" s="140"/>
      <x:c r="G214" s="137" t="str">
        <x:f>IF(OR(E214="",F214=""),"",(F214-E214)*1440)</x:f>
      </x:c>
      <x:c r="H214" s="138" t="str">
        <x:f>IF(G214="","",G214/60)</x:f>
      </x:c>
      <x:c r="I214" s="141"/>
    </x:row>
    <x:row r="215">
      <x:c r="A215" s="139"/>
      <x:c r="B215" s="117"/>
      <x:c r="C215" s="117"/>
      <x:c r="D215" s="117"/>
      <x:c r="E215" s="118"/>
      <x:c r="F215" s="140"/>
      <x:c r="G215" s="137" t="str">
        <x:f>IF(OR(E215="",F215=""),"",(F215-E215)*1440)</x:f>
      </x:c>
      <x:c r="H215" s="138" t="str">
        <x:f>IF(G215="","",G215/60)</x:f>
      </x:c>
      <x:c r="I215" s="141"/>
    </x:row>
    <x:row r="216">
      <x:c r="A216" s="139"/>
      <x:c r="B216" s="117"/>
      <x:c r="C216" s="117"/>
      <x:c r="D216" s="117"/>
      <x:c r="E216" s="118"/>
      <x:c r="F216" s="140"/>
      <x:c r="G216" s="137" t="str">
        <x:f>IF(OR(E216="",F216=""),"",(F216-E216)*1440)</x:f>
      </x:c>
      <x:c r="H216" s="138" t="str">
        <x:f>IF(G216="","",G216/60)</x:f>
      </x:c>
      <x:c r="I216" s="141"/>
    </x:row>
    <x:row r="217">
      <x:c r="A217" s="139"/>
      <x:c r="B217" s="117"/>
      <x:c r="C217" s="117"/>
      <x:c r="D217" s="117"/>
      <x:c r="E217" s="118"/>
      <x:c r="F217" s="140"/>
      <x:c r="G217" s="137" t="str">
        <x:f>IF(OR(E217="",F217=""),"",(F217-E217)*1440)</x:f>
      </x:c>
      <x:c r="H217" s="138" t="str">
        <x:f>IF(G217="","",G217/60)</x:f>
      </x:c>
      <x:c r="I217" s="141"/>
    </x:row>
    <x:row r="218">
      <x:c r="A218" s="139"/>
      <x:c r="B218" s="117"/>
      <x:c r="C218" s="117"/>
      <x:c r="D218" s="117"/>
      <x:c r="E218" s="118"/>
      <x:c r="F218" s="140"/>
      <x:c r="G218" s="137" t="str">
        <x:f>IF(OR(E218="",F218=""),"",(F218-E218)*1440)</x:f>
      </x:c>
      <x:c r="H218" s="138" t="str">
        <x:f>IF(G218="","",G218/60)</x:f>
      </x:c>
      <x:c r="I218" s="141"/>
    </x:row>
    <x:row r="219">
      <x:c r="A219" s="139"/>
      <x:c r="B219" s="117"/>
      <x:c r="C219" s="117"/>
      <x:c r="D219" s="117"/>
      <x:c r="E219" s="118"/>
      <x:c r="F219" s="140"/>
      <x:c r="G219" s="137" t="str">
        <x:f>IF(OR(E219="",F219=""),"",(F219-E219)*1440)</x:f>
      </x:c>
      <x:c r="H219" s="138" t="str">
        <x:f>IF(G219="","",G219/60)</x:f>
      </x:c>
      <x:c r="I219" s="141"/>
    </x:row>
    <x:row r="220">
      <x:c r="A220" s="139"/>
      <x:c r="B220" s="117"/>
      <x:c r="C220" s="117"/>
      <x:c r="D220" s="117"/>
      <x:c r="E220" s="118"/>
      <x:c r="F220" s="140"/>
      <x:c r="G220" s="137" t="str">
        <x:f>IF(OR(E220="",F220=""),"",(F220-E220)*1440)</x:f>
      </x:c>
      <x:c r="H220" s="138" t="str">
        <x:f>IF(G220="","",G220/60)</x:f>
      </x:c>
      <x:c r="I220" s="141"/>
    </x:row>
    <x:row r="221">
      <x:c r="A221" s="139"/>
      <x:c r="B221" s="117"/>
      <x:c r="C221" s="117"/>
      <x:c r="D221" s="117"/>
      <x:c r="E221" s="118"/>
      <x:c r="F221" s="140"/>
      <x:c r="G221" s="137" t="str">
        <x:f>IF(OR(E221="",F221=""),"",(F221-E221)*1440)</x:f>
      </x:c>
      <x:c r="H221" s="138" t="str">
        <x:f>IF(G221="","",G221/60)</x:f>
      </x:c>
      <x:c r="I221" s="141"/>
    </x:row>
    <x:row r="222">
      <x:c r="A222" s="139"/>
      <x:c r="B222" s="117"/>
      <x:c r="C222" s="117"/>
      <x:c r="D222" s="117"/>
      <x:c r="E222" s="118"/>
      <x:c r="F222" s="140"/>
      <x:c r="G222" s="137" t="str">
        <x:f>IF(OR(E222="",F222=""),"",(F222-E222)*1440)</x:f>
      </x:c>
      <x:c r="H222" s="138" t="str">
        <x:f>IF(G222="","",G222/60)</x:f>
      </x:c>
      <x:c r="I222" s="141"/>
    </x:row>
    <x:row r="223">
      <x:c r="A223" s="139"/>
      <x:c r="B223" s="117"/>
      <x:c r="C223" s="117"/>
      <x:c r="D223" s="117"/>
      <x:c r="E223" s="118"/>
      <x:c r="F223" s="140"/>
      <x:c r="G223" s="137" t="str">
        <x:f>IF(OR(E223="",F223=""),"",(F223-E223)*1440)</x:f>
      </x:c>
      <x:c r="H223" s="138" t="str">
        <x:f>IF(G223="","",G223/60)</x:f>
      </x:c>
      <x:c r="I223" s="141"/>
    </x:row>
    <x:row r="224">
      <x:c r="A224" s="139"/>
      <x:c r="B224" s="117"/>
      <x:c r="C224" s="117"/>
      <x:c r="D224" s="117"/>
      <x:c r="E224" s="118"/>
      <x:c r="F224" s="140"/>
      <x:c r="G224" s="137" t="str">
        <x:f>IF(OR(E224="",F224=""),"",(F224-E224)*1440)</x:f>
      </x:c>
      <x:c r="H224" s="138" t="str">
        <x:f>IF(G224="","",G224/60)</x:f>
      </x:c>
      <x:c r="I224" s="141"/>
    </x:row>
    <x:row r="225">
      <x:c r="A225" s="139"/>
      <x:c r="B225" s="117"/>
      <x:c r="C225" s="117"/>
      <x:c r="D225" s="117"/>
      <x:c r="E225" s="118"/>
      <x:c r="F225" s="140"/>
      <x:c r="G225" s="137" t="str">
        <x:f>IF(OR(E225="",F225=""),"",(F225-E225)*1440)</x:f>
      </x:c>
      <x:c r="H225" s="138" t="str">
        <x:f>IF(G225="","",G225/60)</x:f>
      </x:c>
      <x:c r="I225" s="141"/>
    </x:row>
    <x:row r="226">
      <x:c r="A226" s="139"/>
      <x:c r="B226" s="117"/>
      <x:c r="C226" s="117"/>
      <x:c r="D226" s="117"/>
      <x:c r="E226" s="118"/>
      <x:c r="F226" s="140"/>
      <x:c r="G226" s="137" t="str">
        <x:f>IF(OR(E226="",F226=""),"",(F226-E226)*1440)</x:f>
      </x:c>
      <x:c r="H226" s="138" t="str">
        <x:f>IF(G226="","",G226/60)</x:f>
      </x:c>
      <x:c r="I226" s="141"/>
    </x:row>
    <x:row r="227">
      <x:c r="A227" s="139"/>
      <x:c r="B227" s="117"/>
      <x:c r="C227" s="117"/>
      <x:c r="D227" s="117"/>
      <x:c r="E227" s="118"/>
      <x:c r="F227" s="140"/>
      <x:c r="G227" s="137" t="str">
        <x:f>IF(OR(E227="",F227=""),"",(F227-E227)*1440)</x:f>
      </x:c>
      <x:c r="H227" s="138" t="str">
        <x:f>IF(G227="","",G227/60)</x:f>
      </x:c>
      <x:c r="I227" s="141"/>
    </x:row>
    <x:row r="228">
      <x:c r="A228" s="139"/>
      <x:c r="B228" s="117"/>
      <x:c r="C228" s="117"/>
      <x:c r="D228" s="117"/>
      <x:c r="E228" s="118"/>
      <x:c r="F228" s="140"/>
      <x:c r="G228" s="137" t="str">
        <x:f>IF(OR(E228="",F228=""),"",(F228-E228)*1440)</x:f>
      </x:c>
      <x:c r="H228" s="138" t="str">
        <x:f>IF(G228="","",G228/60)</x:f>
      </x:c>
      <x:c r="I228" s="141"/>
    </x:row>
    <x:row r="229">
      <x:c r="A229" s="139"/>
      <x:c r="B229" s="117"/>
      <x:c r="C229" s="117"/>
      <x:c r="D229" s="117"/>
      <x:c r="E229" s="118"/>
      <x:c r="F229" s="140"/>
      <x:c r="G229" s="137" t="str">
        <x:f>IF(OR(E229="",F229=""),"",(F229-E229)*1440)</x:f>
      </x:c>
      <x:c r="H229" s="138" t="str">
        <x:f>IF(G229="","",G229/60)</x:f>
      </x:c>
      <x:c r="I229" s="141"/>
    </x:row>
    <x:row r="230">
      <x:c r="A230" s="139"/>
      <x:c r="B230" s="117"/>
      <x:c r="C230" s="117"/>
      <x:c r="D230" s="117"/>
      <x:c r="E230" s="118"/>
      <x:c r="F230" s="140"/>
      <x:c r="G230" s="137" t="str">
        <x:f>IF(OR(E230="",F230=""),"",(F230-E230)*1440)</x:f>
      </x:c>
      <x:c r="H230" s="138" t="str">
        <x:f>IF(G230="","",G230/60)</x:f>
      </x:c>
      <x:c r="I230" s="141"/>
    </x:row>
    <x:row r="231">
      <x:c r="A231" s="139"/>
      <x:c r="B231" s="117"/>
      <x:c r="C231" s="117"/>
      <x:c r="D231" s="117"/>
      <x:c r="E231" s="118"/>
      <x:c r="F231" s="140"/>
      <x:c r="G231" s="137" t="str">
        <x:f>IF(OR(E231="",F231=""),"",(F231-E231)*1440)</x:f>
      </x:c>
      <x:c r="H231" s="138" t="str">
        <x:f>IF(G231="","",G231/60)</x:f>
      </x:c>
      <x:c r="I231" s="141"/>
    </x:row>
    <x:row r="232">
      <x:c r="A232" s="139"/>
      <x:c r="B232" s="117"/>
      <x:c r="C232" s="117"/>
      <x:c r="D232" s="117"/>
      <x:c r="E232" s="118"/>
      <x:c r="F232" s="140"/>
      <x:c r="G232" s="137" t="str">
        <x:f>IF(OR(E232="",F232=""),"",(F232-E232)*1440)</x:f>
      </x:c>
      <x:c r="H232" s="138" t="str">
        <x:f>IF(G232="","",G232/60)</x:f>
      </x:c>
      <x:c r="I232" s="141"/>
    </x:row>
    <x:row r="233">
      <x:c r="A233" s="139"/>
      <x:c r="B233" s="117"/>
      <x:c r="C233" s="117"/>
      <x:c r="D233" s="117"/>
      <x:c r="E233" s="118"/>
      <x:c r="F233" s="140"/>
      <x:c r="G233" s="137" t="str">
        <x:f>IF(OR(E233="",F233=""),"",(F233-E233)*1440)</x:f>
      </x:c>
      <x:c r="H233" s="138" t="str">
        <x:f>IF(G233="","",G233/60)</x:f>
      </x:c>
      <x:c r="I233" s="141"/>
    </x:row>
    <x:row r="234">
      <x:c r="A234" s="139"/>
      <x:c r="B234" s="117"/>
      <x:c r="C234" s="117"/>
      <x:c r="D234" s="117"/>
      <x:c r="E234" s="118"/>
      <x:c r="F234" s="140"/>
      <x:c r="G234" s="137" t="str">
        <x:f>IF(OR(E234="",F234=""),"",(F234-E234)*1440)</x:f>
      </x:c>
      <x:c r="H234" s="138" t="str">
        <x:f>IF(G234="","",G234/60)</x:f>
      </x:c>
      <x:c r="I234" s="141"/>
    </x:row>
    <x:row r="235">
      <x:c r="A235" s="139"/>
      <x:c r="B235" s="117"/>
      <x:c r="C235" s="117"/>
      <x:c r="D235" s="117"/>
      <x:c r="E235" s="118"/>
      <x:c r="F235" s="140"/>
      <x:c r="G235" s="137" t="str">
        <x:f>IF(OR(E235="",F235=""),"",(F235-E235)*1440)</x:f>
      </x:c>
      <x:c r="H235" s="138" t="str">
        <x:f>IF(G235="","",G235/60)</x:f>
      </x:c>
      <x:c r="I235" s="141"/>
    </x:row>
    <x:row r="236">
      <x:c r="A236" s="139"/>
      <x:c r="B236" s="117"/>
      <x:c r="C236" s="117"/>
      <x:c r="D236" s="117"/>
      <x:c r="E236" s="118"/>
      <x:c r="F236" s="140"/>
      <x:c r="G236" s="137" t="str">
        <x:f>IF(OR(E236="",F236=""),"",(F236-E236)*1440)</x:f>
      </x:c>
      <x:c r="H236" s="138" t="str">
        <x:f>IF(G236="","",G236/60)</x:f>
      </x:c>
      <x:c r="I236" s="141"/>
    </x:row>
    <x:row r="237">
      <x:c r="A237" s="139"/>
      <x:c r="B237" s="117"/>
      <x:c r="C237" s="117"/>
      <x:c r="D237" s="117"/>
      <x:c r="E237" s="118"/>
      <x:c r="F237" s="140"/>
      <x:c r="G237" s="137" t="str">
        <x:f>IF(OR(E237="",F237=""),"",(F237-E237)*1440)</x:f>
      </x:c>
      <x:c r="H237" s="138" t="str">
        <x:f>IF(G237="","",G237/60)</x:f>
      </x:c>
      <x:c r="I237" s="141"/>
    </x:row>
    <x:row r="238">
      <x:c r="A238" s="139"/>
      <x:c r="B238" s="117"/>
      <x:c r="C238" s="117"/>
      <x:c r="D238" s="117"/>
      <x:c r="E238" s="118"/>
      <x:c r="F238" s="140"/>
      <x:c r="G238" s="137" t="str">
        <x:f>IF(OR(E238="",F238=""),"",(F238-E238)*1440)</x:f>
      </x:c>
      <x:c r="H238" s="138" t="str">
        <x:f>IF(G238="","",G238/60)</x:f>
      </x:c>
      <x:c r="I238" s="141"/>
    </x:row>
    <x:row r="239">
      <x:c r="A239" s="139"/>
      <x:c r="B239" s="117"/>
      <x:c r="C239" s="117"/>
      <x:c r="D239" s="117"/>
      <x:c r="E239" s="118"/>
      <x:c r="F239" s="140"/>
      <x:c r="G239" s="137" t="str">
        <x:f>IF(OR(E239="",F239=""),"",(F239-E239)*1440)</x:f>
      </x:c>
      <x:c r="H239" s="138" t="str">
        <x:f>IF(G239="","",G239/60)</x:f>
      </x:c>
      <x:c r="I239" s="141"/>
    </x:row>
    <x:row r="240">
      <x:c r="A240" s="139"/>
      <x:c r="B240" s="117"/>
      <x:c r="C240" s="117"/>
      <x:c r="D240" s="117"/>
      <x:c r="E240" s="118"/>
      <x:c r="F240" s="140"/>
      <x:c r="G240" s="137" t="str">
        <x:f>IF(OR(E240="",F240=""),"",(F240-E240)*1440)</x:f>
      </x:c>
      <x:c r="H240" s="138" t="str">
        <x:f>IF(G240="","",G240/60)</x:f>
      </x:c>
      <x:c r="I240" s="141"/>
    </x:row>
    <x:row r="241">
      <x:c r="A241" s="139"/>
      <x:c r="B241" s="117"/>
      <x:c r="C241" s="117"/>
      <x:c r="D241" s="117"/>
      <x:c r="E241" s="118"/>
      <x:c r="F241" s="140"/>
      <x:c r="G241" s="137" t="str">
        <x:f>IF(OR(E241="",F241=""),"",(F241-E241)*1440)</x:f>
      </x:c>
      <x:c r="H241" s="138" t="str">
        <x:f>IF(G241="","",G241/60)</x:f>
      </x:c>
      <x:c r="I241" s="141"/>
    </x:row>
    <x:row r="242">
      <x:c r="A242" s="139"/>
      <x:c r="B242" s="117"/>
      <x:c r="C242" s="117"/>
      <x:c r="D242" s="117"/>
      <x:c r="E242" s="118"/>
      <x:c r="F242" s="140"/>
      <x:c r="G242" s="137" t="str">
        <x:f>IF(OR(E242="",F242=""),"",(F242-E242)*1440)</x:f>
      </x:c>
      <x:c r="H242" s="138" t="str">
        <x:f>IF(G242="","",G242/60)</x:f>
      </x:c>
      <x:c r="I242" s="141"/>
    </x:row>
    <x:row r="243">
      <x:c r="A243" s="139"/>
      <x:c r="B243" s="117"/>
      <x:c r="C243" s="117"/>
      <x:c r="D243" s="117"/>
      <x:c r="E243" s="118"/>
      <x:c r="F243" s="140"/>
      <x:c r="G243" s="137" t="str">
        <x:f>IF(OR(E243="",F243=""),"",(F243-E243)*1440)</x:f>
      </x:c>
      <x:c r="H243" s="138" t="str">
        <x:f>IF(G243="","",G243/60)</x:f>
      </x:c>
      <x:c r="I243" s="141"/>
    </x:row>
    <x:row r="244">
      <x:c r="A244" s="139"/>
      <x:c r="B244" s="117"/>
      <x:c r="C244" s="117"/>
      <x:c r="D244" s="117"/>
      <x:c r="E244" s="118"/>
      <x:c r="F244" s="140"/>
      <x:c r="G244" s="137" t="str">
        <x:f>IF(OR(E244="",F244=""),"",(F244-E244)*1440)</x:f>
      </x:c>
      <x:c r="H244" s="138" t="str">
        <x:f>IF(G244="","",G244/60)</x:f>
      </x:c>
      <x:c r="I244" s="141"/>
    </x:row>
    <x:row r="245">
      <x:c r="A245" s="139"/>
      <x:c r="B245" s="117"/>
      <x:c r="C245" s="117"/>
      <x:c r="D245" s="117"/>
      <x:c r="E245" s="118"/>
      <x:c r="F245" s="140"/>
      <x:c r="G245" s="137" t="str">
        <x:f>IF(OR(E245="",F245=""),"",(F245-E245)*1440)</x:f>
      </x:c>
      <x:c r="H245" s="138" t="str">
        <x:f>IF(G245="","",G245/60)</x:f>
      </x:c>
      <x:c r="I245" s="141"/>
    </x:row>
    <x:row r="246">
      <x:c r="A246" s="139"/>
      <x:c r="B246" s="117"/>
      <x:c r="C246" s="117"/>
      <x:c r="D246" s="117"/>
      <x:c r="E246" s="118"/>
      <x:c r="F246" s="140"/>
      <x:c r="G246" s="137" t="str">
        <x:f>IF(OR(E246="",F246=""),"",(F246-E246)*1440)</x:f>
      </x:c>
      <x:c r="H246" s="138" t="str">
        <x:f>IF(G246="","",G246/60)</x:f>
      </x:c>
      <x:c r="I246" s="141"/>
    </x:row>
    <x:row r="247">
      <x:c r="A247" s="139"/>
      <x:c r="B247" s="117"/>
      <x:c r="C247" s="117"/>
      <x:c r="D247" s="117"/>
      <x:c r="E247" s="118"/>
      <x:c r="F247" s="140"/>
      <x:c r="G247" s="137" t="str">
        <x:f>IF(OR(E247="",F247=""),"",(F247-E247)*1440)</x:f>
      </x:c>
      <x:c r="H247" s="138" t="str">
        <x:f>IF(G247="","",G247/60)</x:f>
      </x:c>
      <x:c r="I247" s="141"/>
    </x:row>
    <x:row r="248">
      <x:c r="A248" s="139"/>
      <x:c r="B248" s="117"/>
      <x:c r="C248" s="117"/>
      <x:c r="D248" s="117"/>
      <x:c r="E248" s="118"/>
      <x:c r="F248" s="140"/>
      <x:c r="G248" s="137" t="str">
        <x:f>IF(OR(E248="",F248=""),"",(F248-E248)*1440)</x:f>
      </x:c>
      <x:c r="H248" s="138" t="str">
        <x:f>IF(G248="","",G248/60)</x:f>
      </x:c>
      <x:c r="I248" s="141"/>
    </x:row>
    <x:row r="249">
      <x:c r="A249" s="139"/>
      <x:c r="B249" s="117"/>
      <x:c r="C249" s="117"/>
      <x:c r="D249" s="117"/>
      <x:c r="E249" s="118"/>
      <x:c r="F249" s="140"/>
      <x:c r="G249" s="137" t="str">
        <x:f>IF(OR(E249="",F249=""),"",(F249-E249)*1440)</x:f>
      </x:c>
      <x:c r="H249" s="138" t="str">
        <x:f>IF(G249="","",G249/60)</x:f>
      </x:c>
      <x:c r="I249" s="141"/>
    </x:row>
    <x:row r="250">
      <x:c r="A250" s="139"/>
      <x:c r="B250" s="117"/>
      <x:c r="C250" s="117"/>
      <x:c r="D250" s="117"/>
      <x:c r="E250" s="118"/>
      <x:c r="F250" s="140"/>
      <x:c r="G250" s="137" t="str">
        <x:f>IF(OR(E250="",F250=""),"",(F250-E250)*1440)</x:f>
      </x:c>
      <x:c r="H250" s="138" t="str">
        <x:f>IF(G250="","",G250/60)</x:f>
      </x:c>
      <x:c r="I250" s="141"/>
    </x:row>
    <x:row r="251">
      <x:c r="A251" s="139"/>
      <x:c r="B251" s="117"/>
      <x:c r="C251" s="117"/>
      <x:c r="D251" s="117"/>
      <x:c r="E251" s="118"/>
      <x:c r="F251" s="140"/>
      <x:c r="G251" s="137" t="str">
        <x:f>IF(OR(E251="",F251=""),"",(F251-E251)*1440)</x:f>
      </x:c>
      <x:c r="H251" s="138" t="str">
        <x:f>IF(G251="","",G251/60)</x:f>
      </x:c>
      <x:c r="I251" s="141"/>
    </x:row>
    <x:row r="252">
      <x:c r="A252" s="139"/>
      <x:c r="B252" s="117"/>
      <x:c r="C252" s="117"/>
      <x:c r="D252" s="117"/>
      <x:c r="E252" s="118"/>
      <x:c r="F252" s="140"/>
      <x:c r="G252" s="137" t="str">
        <x:f>IF(OR(E252="",F252=""),"",(F252-E252)*1440)</x:f>
      </x:c>
      <x:c r="H252" s="138" t="str">
        <x:f>IF(G252="","",G252/60)</x:f>
      </x:c>
      <x:c r="I252" s="141"/>
    </x:row>
    <x:row r="253">
      <x:c r="A253" s="139"/>
      <x:c r="B253" s="117"/>
      <x:c r="C253" s="117"/>
      <x:c r="D253" s="117"/>
      <x:c r="E253" s="118"/>
      <x:c r="F253" s="140"/>
      <x:c r="G253" s="137" t="str">
        <x:f>IF(OR(E253="",F253=""),"",(F253-E253)*1440)</x:f>
      </x:c>
      <x:c r="H253" s="138" t="str">
        <x:f>IF(G253="","",G253/60)</x:f>
      </x:c>
      <x:c r="I253" s="141"/>
    </x:row>
    <x:row r="254">
      <x:c r="A254" s="139"/>
      <x:c r="B254" s="117"/>
      <x:c r="C254" s="117"/>
      <x:c r="D254" s="117"/>
      <x:c r="E254" s="118"/>
      <x:c r="F254" s="140"/>
      <x:c r="G254" s="137" t="str">
        <x:f>IF(OR(E254="",F254=""),"",(F254-E254)*1440)</x:f>
      </x:c>
      <x:c r="H254" s="138" t="str">
        <x:f>IF(G254="","",G254/60)</x:f>
      </x:c>
      <x:c r="I254" s="141"/>
    </x:row>
    <x:row r="255">
      <x:c r="A255" s="139"/>
      <x:c r="B255" s="117"/>
      <x:c r="C255" s="117"/>
      <x:c r="D255" s="117"/>
      <x:c r="E255" s="118"/>
      <x:c r="F255" s="140"/>
      <x:c r="G255" s="137" t="str">
        <x:f>IF(OR(E255="",F255=""),"",(F255-E255)*1440)</x:f>
      </x:c>
      <x:c r="H255" s="138" t="str">
        <x:f>IF(G255="","",G255/60)</x:f>
      </x:c>
      <x:c r="I255" s="141"/>
    </x:row>
    <x:row r="256">
      <x:c r="A256" s="139"/>
      <x:c r="B256" s="117"/>
      <x:c r="C256" s="117"/>
      <x:c r="D256" s="117"/>
      <x:c r="E256" s="118"/>
      <x:c r="F256" s="140"/>
      <x:c r="G256" s="137" t="str">
        <x:f>IF(OR(E256="",F256=""),"",(F256-E256)*1440)</x:f>
      </x:c>
      <x:c r="H256" s="138" t="str">
        <x:f>IF(G256="","",G256/60)</x:f>
      </x:c>
      <x:c r="I256" s="141"/>
    </x:row>
    <x:row r="257">
      <x:c r="A257" s="139"/>
      <x:c r="B257" s="117"/>
      <x:c r="C257" s="117"/>
      <x:c r="D257" s="117"/>
      <x:c r="E257" s="118"/>
      <x:c r="F257" s="140"/>
      <x:c r="G257" s="137" t="str">
        <x:f>IF(OR(E257="",F257=""),"",(F257-E257)*1440)</x:f>
      </x:c>
      <x:c r="H257" s="138" t="str">
        <x:f>IF(G257="","",G257/60)</x:f>
      </x:c>
      <x:c r="I257" s="141"/>
    </x:row>
    <x:row r="258">
      <x:c r="A258" s="139"/>
      <x:c r="B258" s="117"/>
      <x:c r="C258" s="117"/>
      <x:c r="D258" s="117"/>
      <x:c r="E258" s="118"/>
      <x:c r="F258" s="140"/>
      <x:c r="G258" s="137" t="str">
        <x:f>IF(OR(E258="",F258=""),"",(F258-E258)*1440)</x:f>
      </x:c>
      <x:c r="H258" s="138" t="str">
        <x:f>IF(G258="","",G258/60)</x:f>
      </x:c>
      <x:c r="I258" s="141"/>
    </x:row>
    <x:row r="259">
      <x:c r="A259" s="139"/>
      <x:c r="B259" s="117"/>
      <x:c r="C259" s="117"/>
      <x:c r="D259" s="117"/>
      <x:c r="E259" s="118"/>
      <x:c r="F259" s="140"/>
      <x:c r="G259" s="137" t="str">
        <x:f>IF(OR(E259="",F259=""),"",(F259-E259)*1440)</x:f>
      </x:c>
      <x:c r="H259" s="138" t="str">
        <x:f>IF(G259="","",G259/60)</x:f>
      </x:c>
      <x:c r="I259" s="141"/>
    </x:row>
    <x:row r="260">
      <x:c r="A260" s="139"/>
      <x:c r="B260" s="117"/>
      <x:c r="C260" s="117"/>
      <x:c r="D260" s="117"/>
      <x:c r="E260" s="118"/>
      <x:c r="F260" s="140"/>
      <x:c r="G260" s="137" t="str">
        <x:f>IF(OR(E260="",F260=""),"",(F260-E260)*1440)</x:f>
      </x:c>
      <x:c r="H260" s="138" t="str">
        <x:f>IF(G260="","",G260/60)</x:f>
      </x:c>
      <x:c r="I260" s="141"/>
    </x:row>
    <x:row r="261">
      <x:c r="A261" s="139"/>
      <x:c r="B261" s="117"/>
      <x:c r="C261" s="117"/>
      <x:c r="D261" s="117"/>
      <x:c r="E261" s="118"/>
      <x:c r="F261" s="140"/>
      <x:c r="G261" s="137" t="str">
        <x:f>IF(OR(E261="",F261=""),"",(F261-E261)*1440)</x:f>
      </x:c>
      <x:c r="H261" s="138" t="str">
        <x:f>IF(G261="","",G261/60)</x:f>
      </x:c>
      <x:c r="I261" s="141"/>
    </x:row>
    <x:row r="262">
      <x:c r="A262" s="139"/>
      <x:c r="B262" s="117"/>
      <x:c r="C262" s="117"/>
      <x:c r="D262" s="117"/>
      <x:c r="E262" s="118"/>
      <x:c r="F262" s="140"/>
      <x:c r="G262" s="137" t="str">
        <x:f>IF(OR(E262="",F262=""),"",(F262-E262)*1440)</x:f>
      </x:c>
      <x:c r="H262" s="138" t="str">
        <x:f>IF(G262="","",G262/60)</x:f>
      </x:c>
      <x:c r="I262" s="141"/>
    </x:row>
    <x:row r="263">
      <x:c r="A263" s="139"/>
      <x:c r="B263" s="117"/>
      <x:c r="C263" s="117"/>
      <x:c r="D263" s="117"/>
      <x:c r="E263" s="118"/>
      <x:c r="F263" s="140"/>
      <x:c r="G263" s="137" t="str">
        <x:f>IF(OR(E263="",F263=""),"",(F263-E263)*1440)</x:f>
      </x:c>
      <x:c r="H263" s="138" t="str">
        <x:f>IF(G263="","",G263/60)</x:f>
      </x:c>
      <x:c r="I263" s="141"/>
    </x:row>
    <x:row r="264">
      <x:c r="A264" s="139"/>
      <x:c r="B264" s="117"/>
      <x:c r="C264" s="117"/>
      <x:c r="D264" s="117"/>
      <x:c r="E264" s="118"/>
      <x:c r="F264" s="140"/>
      <x:c r="G264" s="137" t="str">
        <x:f>IF(OR(E264="",F264=""),"",(F264-E264)*1440)</x:f>
      </x:c>
      <x:c r="H264" s="138" t="str">
        <x:f>IF(G264="","",G264/60)</x:f>
      </x:c>
      <x:c r="I264" s="141"/>
    </x:row>
    <x:row r="265">
      <x:c r="A265" s="139"/>
      <x:c r="B265" s="117"/>
      <x:c r="C265" s="117"/>
      <x:c r="D265" s="117"/>
      <x:c r="E265" s="118"/>
      <x:c r="F265" s="140"/>
      <x:c r="G265" s="137" t="str">
        <x:f>IF(OR(E265="",F265=""),"",(F265-E265)*1440)</x:f>
      </x:c>
      <x:c r="H265" s="138" t="str">
        <x:f>IF(G265="","",G265/60)</x:f>
      </x:c>
      <x:c r="I265" s="141"/>
    </x:row>
    <x:row r="266">
      <x:c r="A266" s="139"/>
      <x:c r="B266" s="117"/>
      <x:c r="C266" s="117"/>
      <x:c r="D266" s="117"/>
      <x:c r="E266" s="118"/>
      <x:c r="F266" s="140"/>
      <x:c r="G266" s="137" t="str">
        <x:f>IF(OR(E266="",F266=""),"",(F266-E266)*1440)</x:f>
      </x:c>
      <x:c r="H266" s="138" t="str">
        <x:f>IF(G266="","",G266/60)</x:f>
      </x:c>
      <x:c r="I266" s="141"/>
    </x:row>
    <x:row r="267">
      <x:c r="A267" s="139"/>
      <x:c r="B267" s="117"/>
      <x:c r="C267" s="117"/>
      <x:c r="D267" s="117"/>
      <x:c r="E267" s="118"/>
      <x:c r="F267" s="140"/>
      <x:c r="G267" s="137" t="str">
        <x:f>IF(OR(E267="",F267=""),"",(F267-E267)*1440)</x:f>
      </x:c>
      <x:c r="H267" s="138" t="str">
        <x:f>IF(G267="","",G267/60)</x:f>
      </x:c>
      <x:c r="I267" s="141"/>
    </x:row>
    <x:row r="268">
      <x:c r="A268" s="139"/>
      <x:c r="B268" s="117"/>
      <x:c r="C268" s="117"/>
      <x:c r="D268" s="117"/>
      <x:c r="E268" s="118"/>
      <x:c r="F268" s="140"/>
      <x:c r="G268" s="137" t="str">
        <x:f>IF(OR(E268="",F268=""),"",(F268-E268)*1440)</x:f>
      </x:c>
      <x:c r="H268" s="138" t="str">
        <x:f>IF(G268="","",G268/60)</x:f>
      </x:c>
      <x:c r="I268" s="141"/>
    </x:row>
    <x:row r="269">
      <x:c r="A269" s="139"/>
      <x:c r="B269" s="117"/>
      <x:c r="C269" s="117"/>
      <x:c r="D269" s="117"/>
      <x:c r="E269" s="118"/>
      <x:c r="F269" s="140"/>
      <x:c r="G269" s="137" t="str">
        <x:f>IF(OR(E269="",F269=""),"",(F269-E269)*1440)</x:f>
      </x:c>
      <x:c r="H269" s="138" t="str">
        <x:f>IF(G269="","",G269/60)</x:f>
      </x:c>
      <x:c r="I269" s="141"/>
    </x:row>
    <x:row r="270">
      <x:c r="A270" s="139"/>
      <x:c r="B270" s="117"/>
      <x:c r="C270" s="117"/>
      <x:c r="D270" s="117"/>
      <x:c r="E270" s="118"/>
      <x:c r="F270" s="140"/>
      <x:c r="G270" s="137" t="str">
        <x:f>IF(OR(E270="",F270=""),"",(F270-E270)*1440)</x:f>
      </x:c>
      <x:c r="H270" s="138" t="str">
        <x:f>IF(G270="","",G270/60)</x:f>
      </x:c>
      <x:c r="I270" s="141"/>
    </x:row>
    <x:row r="271">
      <x:c r="A271" s="139"/>
      <x:c r="B271" s="117"/>
      <x:c r="C271" s="117"/>
      <x:c r="D271" s="117"/>
      <x:c r="E271" s="118"/>
      <x:c r="F271" s="140"/>
      <x:c r="G271" s="137" t="str">
        <x:f>IF(OR(E271="",F271=""),"",(F271-E271)*1440)</x:f>
      </x:c>
      <x:c r="H271" s="138" t="str">
        <x:f>IF(G271="","",G271/60)</x:f>
      </x:c>
      <x:c r="I271" s="141"/>
    </x:row>
    <x:row r="272">
      <x:c r="A272" s="139"/>
      <x:c r="B272" s="117"/>
      <x:c r="C272" s="117"/>
      <x:c r="D272" s="117"/>
      <x:c r="E272" s="118"/>
      <x:c r="F272" s="140"/>
      <x:c r="G272" s="137" t="str">
        <x:f>IF(OR(E272="",F272=""),"",(F272-E272)*1440)</x:f>
      </x:c>
      <x:c r="H272" s="138" t="str">
        <x:f>IF(G272="","",G272/60)</x:f>
      </x:c>
      <x:c r="I272" s="141"/>
    </x:row>
    <x:row r="273">
      <x:c r="A273" s="139"/>
      <x:c r="B273" s="117"/>
      <x:c r="C273" s="117"/>
      <x:c r="D273" s="117"/>
      <x:c r="E273" s="118"/>
      <x:c r="F273" s="140"/>
      <x:c r="G273" s="137" t="str">
        <x:f>IF(OR(E273="",F273=""),"",(F273-E273)*1440)</x:f>
      </x:c>
      <x:c r="H273" s="138" t="str">
        <x:f>IF(G273="","",G273/60)</x:f>
      </x:c>
      <x:c r="I273" s="141"/>
    </x:row>
    <x:row r="274">
      <x:c r="A274" s="139"/>
      <x:c r="B274" s="117"/>
      <x:c r="C274" s="117"/>
      <x:c r="D274" s="117"/>
      <x:c r="E274" s="118"/>
      <x:c r="F274" s="140"/>
      <x:c r="G274" s="137" t="str">
        <x:f>IF(OR(E274="",F274=""),"",(F274-E274)*1440)</x:f>
      </x:c>
      <x:c r="H274" s="138" t="str">
        <x:f>IF(G274="","",G274/60)</x:f>
      </x:c>
      <x:c r="I274" s="141"/>
    </x:row>
    <x:row r="275">
      <x:c r="A275" s="139"/>
      <x:c r="B275" s="117"/>
      <x:c r="C275" s="117"/>
      <x:c r="D275" s="117"/>
      <x:c r="E275" s="118"/>
      <x:c r="F275" s="140"/>
      <x:c r="G275" s="137" t="str">
        <x:f>IF(OR(E275="",F275=""),"",(F275-E275)*1440)</x:f>
      </x:c>
      <x:c r="H275" s="138" t="str">
        <x:f>IF(G275="","",G275/60)</x:f>
      </x:c>
      <x:c r="I275" s="141"/>
    </x:row>
    <x:row r="276">
      <x:c r="A276" s="139"/>
      <x:c r="B276" s="117"/>
      <x:c r="C276" s="117"/>
      <x:c r="D276" s="117"/>
      <x:c r="E276" s="118"/>
      <x:c r="F276" s="140"/>
      <x:c r="G276" s="137" t="str">
        <x:f>IF(OR(E276="",F276=""),"",(F276-E276)*1440)</x:f>
      </x:c>
      <x:c r="H276" s="138" t="str">
        <x:f>IF(G276="","",G276/60)</x:f>
      </x:c>
      <x:c r="I276" s="141"/>
    </x:row>
    <x:row r="277">
      <x:c r="A277" s="139"/>
      <x:c r="B277" s="117"/>
      <x:c r="C277" s="117"/>
      <x:c r="D277" s="117"/>
      <x:c r="E277" s="118"/>
      <x:c r="F277" s="140"/>
      <x:c r="G277" s="137" t="str">
        <x:f>IF(OR(E277="",F277=""),"",(F277-E277)*1440)</x:f>
      </x:c>
      <x:c r="H277" s="138" t="str">
        <x:f>IF(G277="","",G277/60)</x:f>
      </x:c>
      <x:c r="I277" s="141"/>
    </x:row>
    <x:row r="278">
      <x:c r="A278" s="139"/>
      <x:c r="B278" s="117"/>
      <x:c r="C278" s="117"/>
      <x:c r="D278" s="117"/>
      <x:c r="E278" s="118"/>
      <x:c r="F278" s="140"/>
      <x:c r="G278" s="137" t="str">
        <x:f>IF(OR(E278="",F278=""),"",(F278-E278)*1440)</x:f>
      </x:c>
      <x:c r="H278" s="138" t="str">
        <x:f>IF(G278="","",G278/60)</x:f>
      </x:c>
      <x:c r="I278" s="141"/>
    </x:row>
    <x:row r="279">
      <x:c r="A279" s="139"/>
      <x:c r="B279" s="117"/>
      <x:c r="C279" s="117"/>
      <x:c r="D279" s="117"/>
      <x:c r="E279" s="118"/>
      <x:c r="F279" s="140"/>
      <x:c r="G279" s="137" t="str">
        <x:f>IF(OR(E279="",F279=""),"",(F279-E279)*1440)</x:f>
      </x:c>
      <x:c r="H279" s="138" t="str">
        <x:f>IF(G279="","",G279/60)</x:f>
      </x:c>
      <x:c r="I279" s="141"/>
    </x:row>
    <x:row r="280">
      <x:c r="A280" s="139"/>
      <x:c r="B280" s="117"/>
      <x:c r="C280" s="117"/>
      <x:c r="D280" s="117"/>
      <x:c r="E280" s="118"/>
      <x:c r="F280" s="140"/>
      <x:c r="G280" s="137" t="str">
        <x:f>IF(OR(E280="",F280=""),"",(F280-E280)*1440)</x:f>
      </x:c>
      <x:c r="H280" s="138" t="str">
        <x:f>IF(G280="","",G280/60)</x:f>
      </x:c>
      <x:c r="I280" s="141"/>
    </x:row>
    <x:row r="281">
      <x:c r="A281" s="139"/>
      <x:c r="B281" s="117"/>
      <x:c r="C281" s="117"/>
      <x:c r="D281" s="117"/>
      <x:c r="E281" s="118"/>
      <x:c r="F281" s="140"/>
      <x:c r="G281" s="137" t="str">
        <x:f>IF(OR(E281="",F281=""),"",(F281-E281)*1440)</x:f>
      </x:c>
      <x:c r="H281" s="138" t="str">
        <x:f>IF(G281="","",G281/60)</x:f>
      </x:c>
      <x:c r="I281" s="141"/>
    </x:row>
    <x:row r="282">
      <x:c r="A282" s="139"/>
      <x:c r="B282" s="117"/>
      <x:c r="C282" s="117"/>
      <x:c r="D282" s="117"/>
      <x:c r="E282" s="118"/>
      <x:c r="F282" s="140"/>
      <x:c r="G282" s="137" t="str">
        <x:f>IF(OR(E282="",F282=""),"",(F282-E282)*1440)</x:f>
      </x:c>
      <x:c r="H282" s="138" t="str">
        <x:f>IF(G282="","",G282/60)</x:f>
      </x:c>
      <x:c r="I282" s="141"/>
    </x:row>
    <x:row r="283">
      <x:c r="A283" s="139"/>
      <x:c r="B283" s="117"/>
      <x:c r="C283" s="117"/>
      <x:c r="D283" s="117"/>
      <x:c r="E283" s="118"/>
      <x:c r="F283" s="140"/>
      <x:c r="G283" s="137" t="str">
        <x:f>IF(OR(E283="",F283=""),"",(F283-E283)*1440)</x:f>
      </x:c>
      <x:c r="H283" s="138" t="str">
        <x:f>IF(G283="","",G283/60)</x:f>
      </x:c>
      <x:c r="I283" s="141"/>
    </x:row>
    <x:row r="284">
      <x:c r="A284" s="139"/>
      <x:c r="B284" s="117"/>
      <x:c r="C284" s="117"/>
      <x:c r="D284" s="117"/>
      <x:c r="E284" s="118"/>
      <x:c r="F284" s="140"/>
      <x:c r="G284" s="137" t="str">
        <x:f>IF(OR(E284="",F284=""),"",(F284-E284)*1440)</x:f>
      </x:c>
      <x:c r="H284" s="138" t="str">
        <x:f>IF(G284="","",G284/60)</x:f>
      </x:c>
      <x:c r="I284" s="141"/>
    </x:row>
    <x:row r="285">
      <x:c r="A285" s="139"/>
      <x:c r="B285" s="117"/>
      <x:c r="C285" s="117"/>
      <x:c r="D285" s="117"/>
      <x:c r="E285" s="118"/>
      <x:c r="F285" s="140"/>
      <x:c r="G285" s="137" t="str">
        <x:f>IF(OR(E285="",F285=""),"",(F285-E285)*1440)</x:f>
      </x:c>
      <x:c r="H285" s="138" t="str">
        <x:f>IF(G285="","",G285/60)</x:f>
      </x:c>
      <x:c r="I285" s="141"/>
    </x:row>
    <x:row r="286">
      <x:c r="A286" s="139"/>
      <x:c r="B286" s="117"/>
      <x:c r="C286" s="117"/>
      <x:c r="D286" s="117"/>
      <x:c r="E286" s="118"/>
      <x:c r="F286" s="140"/>
      <x:c r="G286" s="137" t="str">
        <x:f>IF(OR(E286="",F286=""),"",(F286-E286)*1440)</x:f>
      </x:c>
      <x:c r="H286" s="138" t="str">
        <x:f>IF(G286="","",G286/60)</x:f>
      </x:c>
      <x:c r="I286" s="141"/>
    </x:row>
    <x:row r="287">
      <x:c r="A287" s="139"/>
      <x:c r="B287" s="117"/>
      <x:c r="C287" s="117"/>
      <x:c r="D287" s="117"/>
      <x:c r="E287" s="118"/>
      <x:c r="F287" s="140"/>
      <x:c r="G287" s="137" t="str">
        <x:f>IF(OR(E287="",F287=""),"",(F287-E287)*1440)</x:f>
      </x:c>
      <x:c r="H287" s="138" t="str">
        <x:f>IF(G287="","",G287/60)</x:f>
      </x:c>
      <x:c r="I287" s="141"/>
    </x:row>
    <x:row r="288">
      <x:c r="A288" s="139"/>
      <x:c r="B288" s="117"/>
      <x:c r="C288" s="117"/>
      <x:c r="D288" s="117"/>
      <x:c r="E288" s="118"/>
      <x:c r="F288" s="140"/>
      <x:c r="G288" s="137" t="str">
        <x:f>IF(OR(E288="",F288=""),"",(F288-E288)*1440)</x:f>
      </x:c>
      <x:c r="H288" s="138" t="str">
        <x:f>IF(G288="","",G288/60)</x:f>
      </x:c>
      <x:c r="I288" s="141"/>
    </x:row>
    <x:row r="289">
      <x:c r="A289" s="139"/>
      <x:c r="B289" s="117"/>
      <x:c r="C289" s="117"/>
      <x:c r="D289" s="117"/>
      <x:c r="E289" s="118"/>
      <x:c r="F289" s="140"/>
      <x:c r="G289" s="137" t="str">
        <x:f>IF(OR(E289="",F289=""),"",(F289-E289)*1440)</x:f>
      </x:c>
      <x:c r="H289" s="138" t="str">
        <x:f>IF(G289="","",G289/60)</x:f>
      </x:c>
      <x:c r="I289" s="141"/>
    </x:row>
    <x:row r="290">
      <x:c r="A290" s="139"/>
      <x:c r="B290" s="117"/>
      <x:c r="C290" s="117"/>
      <x:c r="D290" s="117"/>
      <x:c r="E290" s="118"/>
      <x:c r="F290" s="140"/>
      <x:c r="G290" s="137" t="str">
        <x:f>IF(OR(E290="",F290=""),"",(F290-E290)*1440)</x:f>
      </x:c>
      <x:c r="H290" s="138" t="str">
        <x:f>IF(G290="","",G290/60)</x:f>
      </x:c>
      <x:c r="I290" s="141"/>
    </x:row>
    <x:row r="291">
      <x:c r="A291" s="139"/>
      <x:c r="B291" s="117"/>
      <x:c r="C291" s="117"/>
      <x:c r="D291" s="117"/>
      <x:c r="E291" s="118"/>
      <x:c r="F291" s="140"/>
      <x:c r="G291" s="137" t="str">
        <x:f>IF(OR(E291="",F291=""),"",(F291-E291)*1440)</x:f>
      </x:c>
      <x:c r="H291" s="138" t="str">
        <x:f>IF(G291="","",G291/60)</x:f>
      </x:c>
      <x:c r="I291" s="141"/>
    </x:row>
    <x:row r="292">
      <x:c r="A292" s="139"/>
      <x:c r="B292" s="117"/>
      <x:c r="C292" s="117"/>
      <x:c r="D292" s="117"/>
      <x:c r="E292" s="118"/>
      <x:c r="F292" s="140"/>
      <x:c r="G292" s="137" t="str">
        <x:f>IF(OR(E292="",F292=""),"",(F292-E292)*1440)</x:f>
      </x:c>
      <x:c r="H292" s="138" t="str">
        <x:f>IF(G292="","",G292/60)</x:f>
      </x:c>
      <x:c r="I292" s="141"/>
    </x:row>
    <x:row r="293">
      <x:c r="A293" s="139"/>
      <x:c r="B293" s="117"/>
      <x:c r="C293" s="117"/>
      <x:c r="D293" s="117"/>
      <x:c r="E293" s="118"/>
      <x:c r="F293" s="140"/>
      <x:c r="G293" s="137" t="str">
        <x:f>IF(OR(E293="",F293=""),"",(F293-E293)*1440)</x:f>
      </x:c>
      <x:c r="H293" s="138" t="str">
        <x:f>IF(G293="","",G293/60)</x:f>
      </x:c>
      <x:c r="I293" s="141"/>
    </x:row>
    <x:row r="294">
      <x:c r="A294" s="139"/>
      <x:c r="B294" s="117"/>
      <x:c r="C294" s="117"/>
      <x:c r="D294" s="117"/>
      <x:c r="E294" s="118"/>
      <x:c r="F294" s="140"/>
      <x:c r="G294" s="137" t="str">
        <x:f>IF(OR(E294="",F294=""),"",(F294-E294)*1440)</x:f>
      </x:c>
      <x:c r="H294" s="138" t="str">
        <x:f>IF(G294="","",G294/60)</x:f>
      </x:c>
      <x:c r="I294" s="141"/>
    </x:row>
    <x:row r="295">
      <x:c r="A295" s="139"/>
      <x:c r="B295" s="117"/>
      <x:c r="C295" s="117"/>
      <x:c r="D295" s="117"/>
      <x:c r="E295" s="118"/>
      <x:c r="F295" s="140"/>
      <x:c r="G295" s="137" t="str">
        <x:f>IF(OR(E295="",F295=""),"",(F295-E295)*1440)</x:f>
      </x:c>
      <x:c r="H295" s="138" t="str">
        <x:f>IF(G295="","",G295/60)</x:f>
      </x:c>
      <x:c r="I295" s="141"/>
    </x:row>
    <x:row r="296">
      <x:c r="A296" s="139"/>
      <x:c r="B296" s="117"/>
      <x:c r="C296" s="117"/>
      <x:c r="D296" s="117"/>
      <x:c r="E296" s="118"/>
      <x:c r="F296" s="140"/>
      <x:c r="G296" s="137" t="str">
        <x:f>IF(OR(E296="",F296=""),"",(F296-E296)*1440)</x:f>
      </x:c>
      <x:c r="H296" s="138" t="str">
        <x:f>IF(G296="","",G296/60)</x:f>
      </x:c>
      <x:c r="I296" s="141"/>
    </x:row>
    <x:row r="297">
      <x:c r="A297" s="139"/>
      <x:c r="B297" s="117"/>
      <x:c r="C297" s="117"/>
      <x:c r="D297" s="117"/>
      <x:c r="E297" s="118"/>
      <x:c r="F297" s="140"/>
      <x:c r="G297" s="137" t="str">
        <x:f>IF(OR(E297="",F297=""),"",(F297-E297)*1440)</x:f>
      </x:c>
      <x:c r="H297" s="138" t="str">
        <x:f>IF(G297="","",G297/60)</x:f>
      </x:c>
      <x:c r="I297" s="141"/>
    </x:row>
    <x:row r="298">
      <x:c r="A298" s="139"/>
      <x:c r="B298" s="117"/>
      <x:c r="C298" s="117"/>
      <x:c r="D298" s="117"/>
      <x:c r="E298" s="118"/>
      <x:c r="F298" s="140"/>
      <x:c r="G298" s="137" t="str">
        <x:f>IF(OR(E298="",F298=""),"",(F298-E298)*1440)</x:f>
      </x:c>
      <x:c r="H298" s="138" t="str">
        <x:f>IF(G298="","",G298/60)</x:f>
      </x:c>
      <x:c r="I298" s="141"/>
    </x:row>
    <x:row r="299">
      <x:c r="A299" s="139"/>
      <x:c r="B299" s="117"/>
      <x:c r="C299" s="117"/>
      <x:c r="D299" s="117"/>
      <x:c r="E299" s="118"/>
      <x:c r="F299" s="140"/>
      <x:c r="G299" s="137" t="str">
        <x:f>IF(OR(E299="",F299=""),"",(F299-E299)*1440)</x:f>
      </x:c>
      <x:c r="H299" s="138" t="str">
        <x:f>IF(G299="","",G299/60)</x:f>
      </x:c>
      <x:c r="I299" s="141"/>
    </x:row>
    <x:row r="300">
      <x:c r="A300" s="139"/>
      <x:c r="B300" s="117"/>
      <x:c r="C300" s="117"/>
      <x:c r="D300" s="117"/>
      <x:c r="E300" s="118"/>
      <x:c r="F300" s="140"/>
      <x:c r="G300" s="137" t="str">
        <x:f>IF(OR(E300="",F300=""),"",(F300-E300)*1440)</x:f>
      </x:c>
      <x:c r="H300" s="138" t="str">
        <x:f>IF(G300="","",G300/60)</x:f>
      </x:c>
      <x:c r="I300" s="141"/>
    </x:row>
    <x:row r="301">
      <x:c r="A301" s="139"/>
      <x:c r="B301" s="117"/>
      <x:c r="C301" s="117"/>
      <x:c r="D301" s="117"/>
      <x:c r="E301" s="118"/>
      <x:c r="F301" s="140"/>
      <x:c r="G301" s="137" t="str">
        <x:f>IF(OR(E301="",F301=""),"",(F301-E301)*1440)</x:f>
      </x:c>
      <x:c r="H301" s="138" t="str">
        <x:f>IF(G301="","",G301/60)</x:f>
      </x:c>
      <x:c r="I301" s="141"/>
    </x:row>
    <x:row r="302">
      <x:c r="A302" s="139"/>
      <x:c r="B302" s="117"/>
      <x:c r="C302" s="117"/>
      <x:c r="D302" s="117"/>
      <x:c r="E302" s="118"/>
      <x:c r="F302" s="140"/>
      <x:c r="G302" s="137" t="str">
        <x:f>IF(OR(E302="",F302=""),"",(F302-E302)*1440)</x:f>
      </x:c>
      <x:c r="H302" s="138" t="str">
        <x:f>IF(G302="","",G302/60)</x:f>
      </x:c>
      <x:c r="I302" s="141"/>
    </x:row>
    <x:row r="303">
      <x:c r="A303" s="139"/>
      <x:c r="B303" s="117"/>
      <x:c r="C303" s="117"/>
      <x:c r="D303" s="117"/>
      <x:c r="E303" s="118"/>
      <x:c r="F303" s="140"/>
      <x:c r="G303" s="137" t="str">
        <x:f>IF(OR(E303="",F303=""),"",(F303-E303)*1440)</x:f>
      </x:c>
      <x:c r="H303" s="138" t="str">
        <x:f>IF(G303="","",G303/60)</x:f>
      </x:c>
      <x:c r="I303" s="141"/>
    </x:row>
    <x:row r="304">
      <x:c r="A304" s="139"/>
      <x:c r="B304" s="117"/>
      <x:c r="C304" s="117"/>
      <x:c r="D304" s="117"/>
      <x:c r="E304" s="118"/>
      <x:c r="F304" s="140"/>
      <x:c r="G304" s="137" t="str">
        <x:f>IF(OR(E304="",F304=""),"",(F304-E304)*1440)</x:f>
      </x:c>
      <x:c r="H304" s="138" t="str">
        <x:f>IF(G304="","",G304/60)</x:f>
      </x:c>
      <x:c r="I304" s="141"/>
    </x:row>
    <x:row r="305">
      <x:c r="A305" s="139"/>
      <x:c r="B305" s="117"/>
      <x:c r="C305" s="117"/>
      <x:c r="D305" s="117"/>
      <x:c r="E305" s="118"/>
      <x:c r="F305" s="140"/>
      <x:c r="G305" s="137" t="str">
        <x:f>IF(OR(E305="",F305=""),"",(F305-E305)*1440)</x:f>
      </x:c>
      <x:c r="H305" s="138" t="str">
        <x:f>IF(G305="","",G305/60)</x:f>
      </x:c>
      <x:c r="I305" s="141"/>
    </x:row>
    <x:row r="306">
      <x:c r="A306" s="139"/>
      <x:c r="B306" s="117"/>
      <x:c r="C306" s="117"/>
      <x:c r="D306" s="117"/>
      <x:c r="E306" s="118"/>
      <x:c r="F306" s="140"/>
      <x:c r="G306" s="137" t="str">
        <x:f>IF(OR(E306="",F306=""),"",(F306-E306)*1440)</x:f>
      </x:c>
      <x:c r="H306" s="138" t="str">
        <x:f>IF(G306="","",G306/60)</x:f>
      </x:c>
      <x:c r="I306" s="141"/>
    </x:row>
    <x:row r="307">
      <x:c r="A307" s="139"/>
      <x:c r="B307" s="117"/>
      <x:c r="C307" s="117"/>
      <x:c r="D307" s="117"/>
      <x:c r="E307" s="118"/>
      <x:c r="F307" s="140"/>
      <x:c r="G307" s="137" t="str">
        <x:f>IF(OR(E307="",F307=""),"",(F307-E307)*1440)</x:f>
      </x:c>
      <x:c r="H307" s="138" t="str">
        <x:f>IF(G307="","",G307/60)</x:f>
      </x:c>
      <x:c r="I307" s="141"/>
    </x:row>
    <x:row r="308">
      <x:c r="A308" s="139"/>
      <x:c r="B308" s="117"/>
      <x:c r="C308" s="117"/>
      <x:c r="D308" s="117"/>
      <x:c r="E308" s="118"/>
      <x:c r="F308" s="140"/>
      <x:c r="G308" s="137" t="str">
        <x:f>IF(OR(E308="",F308=""),"",(F308-E308)*1440)</x:f>
      </x:c>
      <x:c r="H308" s="138" t="str">
        <x:f>IF(G308="","",G308/60)</x:f>
      </x:c>
      <x:c r="I308" s="141"/>
    </x:row>
    <x:row r="309">
      <x:c r="A309" s="139"/>
      <x:c r="B309" s="117"/>
      <x:c r="C309" s="117"/>
      <x:c r="D309" s="117"/>
      <x:c r="E309" s="118"/>
      <x:c r="F309" s="140"/>
      <x:c r="G309" s="137" t="str">
        <x:f>IF(OR(E309="",F309=""),"",(F309-E309)*1440)</x:f>
      </x:c>
      <x:c r="H309" s="138" t="str">
        <x:f>IF(G309="","",G309/60)</x:f>
      </x:c>
      <x:c r="I309" s="141"/>
    </x:row>
    <x:row r="310">
      <x:c r="A310" s="139"/>
      <x:c r="B310" s="117"/>
      <x:c r="C310" s="117"/>
      <x:c r="D310" s="117"/>
      <x:c r="E310" s="118"/>
      <x:c r="F310" s="140"/>
      <x:c r="G310" s="137" t="str">
        <x:f>IF(OR(E310="",F310=""),"",(F310-E310)*1440)</x:f>
      </x:c>
      <x:c r="H310" s="138" t="str">
        <x:f>IF(G310="","",G310/60)</x:f>
      </x:c>
      <x:c r="I310" s="141"/>
    </x:row>
    <x:row r="311">
      <x:c r="A311" s="139"/>
      <x:c r="B311" s="117"/>
      <x:c r="C311" s="117"/>
      <x:c r="D311" s="117"/>
      <x:c r="E311" s="118"/>
      <x:c r="F311" s="140"/>
      <x:c r="G311" s="137" t="str">
        <x:f>IF(OR(E311="",F311=""),"",(F311-E311)*1440)</x:f>
      </x:c>
      <x:c r="H311" s="138" t="str">
        <x:f>IF(G311="","",G311/60)</x:f>
      </x:c>
      <x:c r="I311" s="141"/>
    </x:row>
    <x:row r="312">
      <x:c r="A312" s="139"/>
      <x:c r="B312" s="117"/>
      <x:c r="C312" s="117"/>
      <x:c r="D312" s="117"/>
      <x:c r="E312" s="118"/>
      <x:c r="F312" s="140"/>
      <x:c r="G312" s="137" t="str">
        <x:f>IF(OR(E312="",F312=""),"",(F312-E312)*1440)</x:f>
      </x:c>
      <x:c r="H312" s="138" t="str">
        <x:f>IF(G312="","",G312/60)</x:f>
      </x:c>
      <x:c r="I312" s="141"/>
    </x:row>
    <x:row r="313">
      <x:c r="A313" s="139"/>
      <x:c r="B313" s="117"/>
      <x:c r="C313" s="117"/>
      <x:c r="D313" s="117"/>
      <x:c r="E313" s="118"/>
      <x:c r="F313" s="140"/>
      <x:c r="G313" s="137" t="str">
        <x:f>IF(OR(E313="",F313=""),"",(F313-E313)*1440)</x:f>
      </x:c>
      <x:c r="H313" s="138" t="str">
        <x:f>IF(G313="","",G313/60)</x:f>
      </x:c>
      <x:c r="I313" s="141"/>
    </x:row>
    <x:row r="314">
      <x:c r="A314" s="139"/>
      <x:c r="B314" s="117"/>
      <x:c r="C314" s="117"/>
      <x:c r="D314" s="117"/>
      <x:c r="E314" s="118"/>
      <x:c r="F314" s="140"/>
      <x:c r="G314" s="137" t="str">
        <x:f>IF(OR(E314="",F314=""),"",(F314-E314)*1440)</x:f>
      </x:c>
      <x:c r="H314" s="138" t="str">
        <x:f>IF(G314="","",G314/60)</x:f>
      </x:c>
      <x:c r="I314" s="141"/>
    </x:row>
    <x:row r="315">
      <x:c r="A315" s="139"/>
      <x:c r="B315" s="117"/>
      <x:c r="C315" s="117"/>
      <x:c r="D315" s="117"/>
      <x:c r="E315" s="118"/>
      <x:c r="F315" s="140"/>
      <x:c r="G315" s="137" t="str">
        <x:f>IF(OR(E315="",F315=""),"",(F315-E315)*1440)</x:f>
      </x:c>
      <x:c r="H315" s="138" t="str">
        <x:f>IF(G315="","",G315/60)</x:f>
      </x:c>
      <x:c r="I315" s="141"/>
    </x:row>
    <x:row r="316">
      <x:c r="A316" s="139"/>
      <x:c r="B316" s="117"/>
      <x:c r="C316" s="117"/>
      <x:c r="D316" s="117"/>
      <x:c r="E316" s="118"/>
      <x:c r="F316" s="140"/>
      <x:c r="G316" s="137" t="str">
        <x:f>IF(OR(E316="",F316=""),"",(F316-E316)*1440)</x:f>
      </x:c>
      <x:c r="H316" s="138" t="str">
        <x:f>IF(G316="","",G316/60)</x:f>
      </x:c>
      <x:c r="I316" s="141"/>
    </x:row>
    <x:row r="317">
      <x:c r="A317" s="139"/>
      <x:c r="B317" s="117"/>
      <x:c r="C317" s="117"/>
      <x:c r="D317" s="117"/>
      <x:c r="E317" s="118"/>
      <x:c r="F317" s="140"/>
      <x:c r="G317" s="137" t="str">
        <x:f>IF(OR(E317="",F317=""),"",(F317-E317)*1440)</x:f>
      </x:c>
      <x:c r="H317" s="138" t="str">
        <x:f>IF(G317="","",G317/60)</x:f>
      </x:c>
      <x:c r="I317" s="141"/>
    </x:row>
    <x:row r="318">
      <x:c r="A318" s="139"/>
      <x:c r="B318" s="117"/>
      <x:c r="C318" s="117"/>
      <x:c r="D318" s="117"/>
      <x:c r="E318" s="118"/>
      <x:c r="F318" s="140"/>
      <x:c r="G318" s="137" t="str">
        <x:f>IF(OR(E318="",F318=""),"",(F318-E318)*1440)</x:f>
      </x:c>
      <x:c r="H318" s="138" t="str">
        <x:f>IF(G318="","",G318/60)</x:f>
      </x:c>
      <x:c r="I318" s="141"/>
    </x:row>
    <x:row r="319">
      <x:c r="A319" s="139"/>
      <x:c r="B319" s="117"/>
      <x:c r="C319" s="117"/>
      <x:c r="D319" s="117"/>
      <x:c r="E319" s="118"/>
      <x:c r="F319" s="140"/>
      <x:c r="G319" s="137" t="str">
        <x:f>IF(OR(E319="",F319=""),"",(F319-E319)*1440)</x:f>
      </x:c>
      <x:c r="H319" s="138" t="str">
        <x:f>IF(G319="","",G319/60)</x:f>
      </x:c>
      <x:c r="I319" s="141"/>
    </x:row>
    <x:row r="320">
      <x:c r="A320" s="139"/>
      <x:c r="B320" s="117"/>
      <x:c r="C320" s="117"/>
      <x:c r="D320" s="117"/>
      <x:c r="E320" s="118"/>
      <x:c r="F320" s="140"/>
      <x:c r="G320" s="137" t="str">
        <x:f>IF(OR(E320="",F320=""),"",(F320-E320)*1440)</x:f>
      </x:c>
      <x:c r="H320" s="138" t="str">
        <x:f>IF(G320="","",G320/60)</x:f>
      </x:c>
      <x:c r="I320" s="141"/>
    </x:row>
    <x:row r="321">
      <x:c r="A321" s="139"/>
      <x:c r="B321" s="117"/>
      <x:c r="C321" s="117"/>
      <x:c r="D321" s="117"/>
      <x:c r="E321" s="118"/>
      <x:c r="F321" s="140"/>
      <x:c r="G321" s="137" t="str">
        <x:f>IF(OR(E321="",F321=""),"",(F321-E321)*1440)</x:f>
      </x:c>
      <x:c r="H321" s="138" t="str">
        <x:f>IF(G321="","",G321/60)</x:f>
      </x:c>
      <x:c r="I321" s="141"/>
    </x:row>
    <x:row r="322">
      <x:c r="A322" s="139"/>
      <x:c r="B322" s="117"/>
      <x:c r="C322" s="117"/>
      <x:c r="D322" s="117"/>
      <x:c r="E322" s="118"/>
      <x:c r="F322" s="140"/>
      <x:c r="G322" s="137" t="str">
        <x:f>IF(OR(E322="",F322=""),"",(F322-E322)*1440)</x:f>
      </x:c>
      <x:c r="H322" s="138" t="str">
        <x:f>IF(G322="","",G322/60)</x:f>
      </x:c>
      <x:c r="I322" s="141"/>
    </x:row>
    <x:row r="323">
      <x:c r="A323" s="139"/>
      <x:c r="B323" s="117"/>
      <x:c r="C323" s="117"/>
      <x:c r="D323" s="117"/>
      <x:c r="E323" s="118"/>
      <x:c r="F323" s="140"/>
      <x:c r="G323" s="137" t="str">
        <x:f>IF(OR(E323="",F323=""),"",(F323-E323)*1440)</x:f>
      </x:c>
      <x:c r="H323" s="138" t="str">
        <x:f>IF(G323="","",G323/60)</x:f>
      </x:c>
      <x:c r="I323" s="141"/>
    </x:row>
    <x:row r="324">
      <x:c r="A324" s="139"/>
      <x:c r="B324" s="117"/>
      <x:c r="C324" s="117"/>
      <x:c r="D324" s="117"/>
      <x:c r="E324" s="118"/>
      <x:c r="F324" s="140"/>
      <x:c r="G324" s="137" t="str">
        <x:f>IF(OR(E324="",F324=""),"",(F324-E324)*1440)</x:f>
      </x:c>
      <x:c r="H324" s="138" t="str">
        <x:f>IF(G324="","",G324/60)</x:f>
      </x:c>
      <x:c r="I324" s="141"/>
    </x:row>
    <x:row r="325">
      <x:c r="A325" s="139"/>
      <x:c r="B325" s="117"/>
      <x:c r="C325" s="117"/>
      <x:c r="D325" s="117"/>
      <x:c r="E325" s="118"/>
      <x:c r="F325" s="140"/>
      <x:c r="G325" s="137" t="str">
        <x:f>IF(OR(E325="",F325=""),"",(F325-E325)*1440)</x:f>
      </x:c>
      <x:c r="H325" s="138" t="str">
        <x:f>IF(G325="","",G325/60)</x:f>
      </x:c>
      <x:c r="I325" s="141"/>
    </x:row>
    <x:row r="326">
      <x:c r="A326" s="139"/>
      <x:c r="B326" s="117"/>
      <x:c r="C326" s="117"/>
      <x:c r="D326" s="117"/>
      <x:c r="E326" s="118"/>
      <x:c r="F326" s="140"/>
      <x:c r="G326" s="137" t="str">
        <x:f>IF(OR(E326="",F326=""),"",(F326-E326)*1440)</x:f>
      </x:c>
      <x:c r="H326" s="138" t="str">
        <x:f>IF(G326="","",G326/60)</x:f>
      </x:c>
      <x:c r="I326" s="141"/>
    </x:row>
    <x:row r="327">
      <x:c r="A327" s="139"/>
      <x:c r="B327" s="117"/>
      <x:c r="C327" s="117"/>
      <x:c r="D327" s="117"/>
      <x:c r="E327" s="118"/>
      <x:c r="F327" s="140"/>
      <x:c r="G327" s="137" t="str">
        <x:f>IF(OR(E327="",F327=""),"",(F327-E327)*1440)</x:f>
      </x:c>
      <x:c r="H327" s="138" t="str">
        <x:f>IF(G327="","",G327/60)</x:f>
      </x:c>
      <x:c r="I327" s="141"/>
    </x:row>
    <x:row r="328">
      <x:c r="A328" s="139"/>
      <x:c r="B328" s="117"/>
      <x:c r="C328" s="117"/>
      <x:c r="D328" s="117"/>
      <x:c r="E328" s="118"/>
      <x:c r="F328" s="140"/>
      <x:c r="G328" s="137" t="str">
        <x:f>IF(OR(E328="",F328=""),"",(F328-E328)*1440)</x:f>
      </x:c>
      <x:c r="H328" s="138" t="str">
        <x:f>IF(G328="","",G328/60)</x:f>
      </x:c>
      <x:c r="I328" s="141"/>
    </x:row>
    <x:row r="329">
      <x:c r="A329" s="139"/>
      <x:c r="B329" s="117"/>
      <x:c r="C329" s="117"/>
      <x:c r="D329" s="117"/>
      <x:c r="E329" s="118"/>
      <x:c r="F329" s="140"/>
      <x:c r="G329" s="137" t="str">
        <x:f>IF(OR(E329="",F329=""),"",(F329-E329)*1440)</x:f>
      </x:c>
      <x:c r="H329" s="138" t="str">
        <x:f>IF(G329="","",G329/60)</x:f>
      </x:c>
      <x:c r="I329" s="141"/>
    </x:row>
    <x:row r="330">
      <x:c r="A330" s="139"/>
      <x:c r="B330" s="117"/>
      <x:c r="C330" s="117"/>
      <x:c r="D330" s="117"/>
      <x:c r="E330" s="118"/>
      <x:c r="F330" s="140"/>
      <x:c r="G330" s="137" t="str">
        <x:f>IF(OR(E330="",F330=""),"",(F330-E330)*1440)</x:f>
      </x:c>
      <x:c r="H330" s="138" t="str">
        <x:f>IF(G330="","",G330/60)</x:f>
      </x:c>
      <x:c r="I330" s="141"/>
    </x:row>
    <x:row r="331">
      <x:c r="A331" s="139"/>
      <x:c r="B331" s="117"/>
      <x:c r="C331" s="117"/>
      <x:c r="D331" s="117"/>
      <x:c r="E331" s="118"/>
      <x:c r="F331" s="140"/>
      <x:c r="G331" s="137" t="str">
        <x:f>IF(OR(E331="",F331=""),"",(F331-E331)*1440)</x:f>
      </x:c>
      <x:c r="H331" s="138" t="str">
        <x:f>IF(G331="","",G331/60)</x:f>
      </x:c>
      <x:c r="I331" s="141"/>
    </x:row>
    <x:row r="332">
      <x:c r="A332" s="139"/>
      <x:c r="B332" s="117"/>
      <x:c r="C332" s="117"/>
      <x:c r="D332" s="117"/>
      <x:c r="E332" s="118"/>
      <x:c r="F332" s="140"/>
      <x:c r="G332" s="137" t="str">
        <x:f>IF(OR(E332="",F332=""),"",(F332-E332)*1440)</x:f>
      </x:c>
      <x:c r="H332" s="138" t="str">
        <x:f>IF(G332="","",G332/60)</x:f>
      </x:c>
      <x:c r="I332" s="141"/>
    </x:row>
    <x:row r="333">
      <x:c r="A333" s="139"/>
      <x:c r="B333" s="117"/>
      <x:c r="C333" s="117"/>
      <x:c r="D333" s="117"/>
      <x:c r="E333" s="118"/>
      <x:c r="F333" s="140"/>
      <x:c r="G333" s="137" t="str">
        <x:f>IF(OR(E333="",F333=""),"",(F333-E333)*1440)</x:f>
      </x:c>
      <x:c r="H333" s="138" t="str">
        <x:f>IF(G333="","",G333/60)</x:f>
      </x:c>
      <x:c r="I333" s="141"/>
    </x:row>
    <x:row r="334">
      <x:c r="A334" s="139"/>
      <x:c r="B334" s="117"/>
      <x:c r="C334" s="117"/>
      <x:c r="D334" s="117"/>
      <x:c r="E334" s="118"/>
      <x:c r="F334" s="140"/>
      <x:c r="G334" s="137" t="str">
        <x:f>IF(OR(E334="",F334=""),"",(F334-E334)*1440)</x:f>
      </x:c>
      <x:c r="H334" s="138" t="str">
        <x:f>IF(G334="","",G334/60)</x:f>
      </x:c>
      <x:c r="I334" s="141"/>
    </x:row>
    <x:row r="335">
      <x:c r="A335" s="139"/>
      <x:c r="B335" s="117"/>
      <x:c r="C335" s="117"/>
      <x:c r="D335" s="117"/>
      <x:c r="E335" s="118"/>
      <x:c r="F335" s="140"/>
      <x:c r="G335" s="137" t="str">
        <x:f>IF(OR(E335="",F335=""),"",(F335-E335)*1440)</x:f>
      </x:c>
      <x:c r="H335" s="138" t="str">
        <x:f>IF(G335="","",G335/60)</x:f>
      </x:c>
      <x:c r="I335" s="141"/>
    </x:row>
    <x:row r="336">
      <x:c r="A336" s="139"/>
      <x:c r="B336" s="117"/>
      <x:c r="C336" s="117"/>
      <x:c r="D336" s="117"/>
      <x:c r="E336" s="118"/>
      <x:c r="F336" s="140"/>
      <x:c r="G336" s="137" t="str">
        <x:f>IF(OR(E336="",F336=""),"",(F336-E336)*1440)</x:f>
      </x:c>
      <x:c r="H336" s="138" t="str">
        <x:f>IF(G336="","",G336/60)</x:f>
      </x:c>
      <x:c r="I336" s="141"/>
    </x:row>
    <x:row r="337">
      <x:c r="A337" s="139"/>
      <x:c r="B337" s="117"/>
      <x:c r="C337" s="117"/>
      <x:c r="D337" s="117"/>
      <x:c r="E337" s="118"/>
      <x:c r="F337" s="140"/>
      <x:c r="G337" s="137" t="str">
        <x:f>IF(OR(E337="",F337=""),"",(F337-E337)*1440)</x:f>
      </x:c>
      <x:c r="H337" s="138" t="str">
        <x:f>IF(G337="","",G337/60)</x:f>
      </x:c>
      <x:c r="I337" s="141"/>
    </x:row>
    <x:row r="338">
      <x:c r="A338" s="139"/>
      <x:c r="B338" s="117"/>
      <x:c r="C338" s="117"/>
      <x:c r="D338" s="117"/>
      <x:c r="E338" s="118"/>
      <x:c r="F338" s="140"/>
      <x:c r="G338" s="137" t="str">
        <x:f>IF(OR(E338="",F338=""),"",(F338-E338)*1440)</x:f>
      </x:c>
      <x:c r="H338" s="138" t="str">
        <x:f>IF(G338="","",G338/60)</x:f>
      </x:c>
      <x:c r="I338" s="141"/>
    </x:row>
    <x:row r="339">
      <x:c r="A339" s="139"/>
      <x:c r="B339" s="117"/>
      <x:c r="C339" s="117"/>
      <x:c r="D339" s="117"/>
      <x:c r="E339" s="118"/>
      <x:c r="F339" s="140"/>
      <x:c r="G339" s="137" t="str">
        <x:f>IF(OR(E339="",F339=""),"",(F339-E339)*1440)</x:f>
      </x:c>
      <x:c r="H339" s="138" t="str">
        <x:f>IF(G339="","",G339/60)</x:f>
      </x:c>
      <x:c r="I339" s="141"/>
    </x:row>
    <x:row r="340">
      <x:c r="A340" s="139"/>
      <x:c r="B340" s="117"/>
      <x:c r="C340" s="117"/>
      <x:c r="D340" s="117"/>
      <x:c r="E340" s="118"/>
      <x:c r="F340" s="140"/>
      <x:c r="G340" s="137" t="str">
        <x:f>IF(OR(E340="",F340=""),"",(F340-E340)*1440)</x:f>
      </x:c>
      <x:c r="H340" s="138" t="str">
        <x:f>IF(G340="","",G340/60)</x:f>
      </x:c>
      <x:c r="I340" s="141"/>
    </x:row>
    <x:row r="341">
      <x:c r="A341" s="139"/>
      <x:c r="B341" s="117"/>
      <x:c r="C341" s="117"/>
      <x:c r="D341" s="117"/>
      <x:c r="E341" s="118"/>
      <x:c r="F341" s="140"/>
      <x:c r="G341" s="137" t="str">
        <x:f>IF(OR(E341="",F341=""),"",(F341-E341)*1440)</x:f>
      </x:c>
      <x:c r="H341" s="138" t="str">
        <x:f>IF(G341="","",G341/60)</x:f>
      </x:c>
      <x:c r="I341" s="141"/>
    </x:row>
    <x:row r="342">
      <x:c r="A342" s="139"/>
      <x:c r="B342" s="117"/>
      <x:c r="C342" s="117"/>
      <x:c r="D342" s="117"/>
      <x:c r="E342" s="118"/>
      <x:c r="F342" s="140"/>
      <x:c r="G342" s="137" t="str">
        <x:f>IF(OR(E342="",F342=""),"",(F342-E342)*1440)</x:f>
      </x:c>
      <x:c r="H342" s="138" t="str">
        <x:f>IF(G342="","",G342/60)</x:f>
      </x:c>
      <x:c r="I342" s="141"/>
    </x:row>
    <x:row r="343">
      <x:c r="A343" s="139"/>
      <x:c r="B343" s="117"/>
      <x:c r="C343" s="117"/>
      <x:c r="D343" s="117"/>
      <x:c r="E343" s="118"/>
      <x:c r="F343" s="140"/>
      <x:c r="G343" s="137" t="str">
        <x:f>IF(OR(E343="",F343=""),"",(F343-E343)*1440)</x:f>
      </x:c>
      <x:c r="H343" s="138" t="str">
        <x:f>IF(G343="","",G343/60)</x:f>
      </x:c>
      <x:c r="I343" s="141"/>
    </x:row>
    <x:row r="344">
      <x:c r="A344" s="139"/>
      <x:c r="B344" s="117"/>
      <x:c r="C344" s="117"/>
      <x:c r="D344" s="117"/>
      <x:c r="E344" s="118"/>
      <x:c r="F344" s="140"/>
      <x:c r="G344" s="137" t="str">
        <x:f>IF(OR(E344="",F344=""),"",(F344-E344)*1440)</x:f>
      </x:c>
      <x:c r="H344" s="138" t="str">
        <x:f>IF(G344="","",G344/60)</x:f>
      </x:c>
      <x:c r="I344" s="141"/>
    </x:row>
    <x:row r="345">
      <x:c r="A345" s="139"/>
      <x:c r="B345" s="117"/>
      <x:c r="C345" s="117"/>
      <x:c r="D345" s="117"/>
      <x:c r="E345" s="118"/>
      <x:c r="F345" s="140"/>
      <x:c r="G345" s="137" t="str">
        <x:f>IF(OR(E345="",F345=""),"",(F345-E345)*1440)</x:f>
      </x:c>
      <x:c r="H345" s="138" t="str">
        <x:f>IF(G345="","",G345/60)</x:f>
      </x:c>
      <x:c r="I345" s="141"/>
    </x:row>
    <x:row r="346">
      <x:c r="A346" s="139"/>
      <x:c r="B346" s="117"/>
      <x:c r="C346" s="117"/>
      <x:c r="D346" s="117"/>
      <x:c r="E346" s="118"/>
      <x:c r="F346" s="140"/>
      <x:c r="G346" s="137" t="str">
        <x:f>IF(OR(E346="",F346=""),"",(F346-E346)*1440)</x:f>
      </x:c>
      <x:c r="H346" s="138" t="str">
        <x:f>IF(G346="","",G346/60)</x:f>
      </x:c>
      <x:c r="I346" s="141"/>
    </x:row>
    <x:row r="347">
      <x:c r="A347" s="139"/>
      <x:c r="B347" s="117"/>
      <x:c r="C347" s="117"/>
      <x:c r="D347" s="117"/>
      <x:c r="E347" s="118"/>
      <x:c r="F347" s="140"/>
      <x:c r="G347" s="137" t="str">
        <x:f>IF(OR(E347="",F347=""),"",(F347-E347)*1440)</x:f>
      </x:c>
      <x:c r="H347" s="138" t="str">
        <x:f>IF(G347="","",G347/60)</x:f>
      </x:c>
      <x:c r="I347" s="141"/>
    </x:row>
    <x:row r="348">
      <x:c r="A348" s="139"/>
      <x:c r="B348" s="117"/>
      <x:c r="C348" s="117"/>
      <x:c r="D348" s="117"/>
      <x:c r="E348" s="118"/>
      <x:c r="F348" s="140"/>
      <x:c r="G348" s="137" t="str">
        <x:f>IF(OR(E348="",F348=""),"",(F348-E348)*1440)</x:f>
      </x:c>
      <x:c r="H348" s="138" t="str">
        <x:f>IF(G348="","",G348/60)</x:f>
      </x:c>
      <x:c r="I348" s="141"/>
    </x:row>
    <x:row r="349">
      <x:c r="A349" s="139"/>
      <x:c r="B349" s="117"/>
      <x:c r="C349" s="117"/>
      <x:c r="D349" s="117"/>
      <x:c r="E349" s="118"/>
      <x:c r="F349" s="140"/>
      <x:c r="G349" s="137" t="str">
        <x:f>IF(OR(E349="",F349=""),"",(F349-E349)*1440)</x:f>
      </x:c>
      <x:c r="H349" s="138" t="str">
        <x:f>IF(G349="","",G349/60)</x:f>
      </x:c>
      <x:c r="I349" s="141"/>
    </x:row>
    <x:row r="350">
      <x:c r="A350" s="139"/>
      <x:c r="B350" s="117"/>
      <x:c r="C350" s="117"/>
      <x:c r="D350" s="117"/>
      <x:c r="E350" s="118"/>
      <x:c r="F350" s="140"/>
      <x:c r="G350" s="137" t="str">
        <x:f>IF(OR(E350="",F350=""),"",(F350-E350)*1440)</x:f>
      </x:c>
      <x:c r="H350" s="138" t="str">
        <x:f>IF(G350="","",G350/60)</x:f>
      </x:c>
      <x:c r="I350" s="141"/>
    </x:row>
    <x:row r="351">
      <x:c r="A351" s="139"/>
      <x:c r="B351" s="117"/>
      <x:c r="C351" s="117"/>
      <x:c r="D351" s="117"/>
      <x:c r="E351" s="118"/>
      <x:c r="F351" s="140"/>
      <x:c r="G351" s="137" t="str">
        <x:f>IF(OR(E351="",F351=""),"",(F351-E351)*1440)</x:f>
      </x:c>
      <x:c r="H351" s="138" t="str">
        <x:f>IF(G351="","",G351/60)</x:f>
      </x:c>
      <x:c r="I351" s="141"/>
    </x:row>
    <x:row r="352">
      <x:c r="A352" s="139"/>
      <x:c r="B352" s="117"/>
      <x:c r="C352" s="117"/>
      <x:c r="D352" s="117"/>
      <x:c r="E352" s="118"/>
      <x:c r="F352" s="140"/>
      <x:c r="G352" s="137" t="str">
        <x:f>IF(OR(E352="",F352=""),"",(F352-E352)*1440)</x:f>
      </x:c>
      <x:c r="H352" s="138" t="str">
        <x:f>IF(G352="","",G352/60)</x:f>
      </x:c>
      <x:c r="I352" s="141"/>
    </x:row>
    <x:row r="353">
      <x:c r="A353" s="139"/>
      <x:c r="B353" s="117"/>
      <x:c r="C353" s="117"/>
      <x:c r="D353" s="117"/>
      <x:c r="E353" s="118"/>
      <x:c r="F353" s="140"/>
      <x:c r="G353" s="137" t="str">
        <x:f>IF(OR(E353="",F353=""),"",(F353-E353)*1440)</x:f>
      </x:c>
      <x:c r="H353" s="138" t="str">
        <x:f>IF(G353="","",G353/60)</x:f>
      </x:c>
      <x:c r="I353" s="141"/>
    </x:row>
    <x:row r="354">
      <x:c r="A354" s="139"/>
      <x:c r="B354" s="117"/>
      <x:c r="C354" s="117"/>
      <x:c r="D354" s="117"/>
      <x:c r="E354" s="118"/>
      <x:c r="F354" s="140"/>
      <x:c r="G354" s="137" t="str">
        <x:f>IF(OR(E354="",F354=""),"",(F354-E354)*1440)</x:f>
      </x:c>
      <x:c r="H354" s="138" t="str">
        <x:f>IF(G354="","",G354/60)</x:f>
      </x:c>
      <x:c r="I354" s="141"/>
    </x:row>
    <x:row r="355">
      <x:c r="A355" s="139"/>
      <x:c r="B355" s="117"/>
      <x:c r="C355" s="117"/>
      <x:c r="D355" s="117"/>
      <x:c r="E355" s="118"/>
      <x:c r="F355" s="140"/>
      <x:c r="G355" s="137" t="str">
        <x:f>IF(OR(E355="",F355=""),"",(F355-E355)*1440)</x:f>
      </x:c>
      <x:c r="H355" s="138" t="str">
        <x:f>IF(G355="","",G355/60)</x:f>
      </x:c>
      <x:c r="I355" s="141"/>
    </x:row>
    <x:row r="356">
      <x:c r="A356" s="139"/>
      <x:c r="B356" s="117"/>
      <x:c r="C356" s="117"/>
      <x:c r="D356" s="117"/>
      <x:c r="E356" s="118"/>
      <x:c r="F356" s="140"/>
      <x:c r="G356" s="137" t="str">
        <x:f>IF(OR(E356="",F356=""),"",(F356-E356)*1440)</x:f>
      </x:c>
      <x:c r="H356" s="138" t="str">
        <x:f>IF(G356="","",G356/60)</x:f>
      </x:c>
      <x:c r="I356" s="141"/>
    </x:row>
    <x:row r="357">
      <x:c r="A357" s="139"/>
      <x:c r="B357" s="117"/>
      <x:c r="C357" s="117"/>
      <x:c r="D357" s="117"/>
      <x:c r="E357" s="118"/>
      <x:c r="F357" s="140"/>
      <x:c r="G357" s="137" t="str">
        <x:f>IF(OR(E357="",F357=""),"",(F357-E357)*1440)</x:f>
      </x:c>
      <x:c r="H357" s="138" t="str">
        <x:f>IF(G357="","",G357/60)</x:f>
      </x:c>
      <x:c r="I357" s="141"/>
    </x:row>
    <x:row r="358">
      <x:c r="A358" s="139"/>
      <x:c r="B358" s="117"/>
      <x:c r="C358" s="117"/>
      <x:c r="D358" s="117"/>
      <x:c r="E358" s="118"/>
      <x:c r="F358" s="140"/>
      <x:c r="G358" s="137" t="str">
        <x:f>IF(OR(E358="",F358=""),"",(F358-E358)*1440)</x:f>
      </x:c>
      <x:c r="H358" s="138" t="str">
        <x:f>IF(G358="","",G358/60)</x:f>
      </x:c>
      <x:c r="I358" s="141"/>
    </x:row>
    <x:row r="359">
      <x:c r="A359" s="139"/>
      <x:c r="B359" s="117"/>
      <x:c r="C359" s="117"/>
      <x:c r="D359" s="117"/>
      <x:c r="E359" s="118"/>
      <x:c r="F359" s="140"/>
      <x:c r="G359" s="137" t="str">
        <x:f>IF(OR(E359="",F359=""),"",(F359-E359)*1440)</x:f>
      </x:c>
      <x:c r="H359" s="138" t="str">
        <x:f>IF(G359="","",G359/60)</x:f>
      </x:c>
      <x:c r="I359" s="141"/>
    </x:row>
    <x:row r="360">
      <x:c r="A360" s="139"/>
      <x:c r="B360" s="117"/>
      <x:c r="C360" s="117"/>
      <x:c r="D360" s="117"/>
      <x:c r="E360" s="118"/>
      <x:c r="F360" s="140"/>
      <x:c r="G360" s="137" t="str">
        <x:f>IF(OR(E360="",F360=""),"",(F360-E360)*1440)</x:f>
      </x:c>
      <x:c r="H360" s="138" t="str">
        <x:f>IF(G360="","",G360/60)</x:f>
      </x:c>
      <x:c r="I360" s="141"/>
    </x:row>
    <x:row r="361">
      <x:c r="A361" s="139"/>
      <x:c r="B361" s="117"/>
      <x:c r="C361" s="117"/>
      <x:c r="D361" s="117"/>
      <x:c r="E361" s="118"/>
      <x:c r="F361" s="140"/>
      <x:c r="G361" s="137" t="str">
        <x:f>IF(OR(E361="",F361=""),"",(F361-E361)*1440)</x:f>
      </x:c>
      <x:c r="H361" s="138" t="str">
        <x:f>IF(G361="","",G361/60)</x:f>
      </x:c>
      <x:c r="I361" s="141"/>
    </x:row>
    <x:row r="362">
      <x:c r="A362" s="139"/>
      <x:c r="B362" s="117"/>
      <x:c r="C362" s="117"/>
      <x:c r="D362" s="117"/>
      <x:c r="E362" s="118"/>
      <x:c r="F362" s="140"/>
      <x:c r="G362" s="137" t="str">
        <x:f>IF(OR(E362="",F362=""),"",(F362-E362)*1440)</x:f>
      </x:c>
      <x:c r="H362" s="138" t="str">
        <x:f>IF(G362="","",G362/60)</x:f>
      </x:c>
      <x:c r="I362" s="141"/>
    </x:row>
    <x:row r="363">
      <x:c r="A363" s="139"/>
      <x:c r="B363" s="117"/>
      <x:c r="C363" s="117"/>
      <x:c r="D363" s="117"/>
      <x:c r="E363" s="118"/>
      <x:c r="F363" s="140"/>
      <x:c r="G363" s="137" t="str">
        <x:f>IF(OR(E363="",F363=""),"",(F363-E363)*1440)</x:f>
      </x:c>
      <x:c r="H363" s="138" t="str">
        <x:f>IF(G363="","",G363/60)</x:f>
      </x:c>
      <x:c r="I363" s="141"/>
    </x:row>
    <x:row r="364">
      <x:c r="A364" s="139"/>
      <x:c r="B364" s="117"/>
      <x:c r="C364" s="117"/>
      <x:c r="D364" s="117"/>
      <x:c r="E364" s="118"/>
      <x:c r="F364" s="140"/>
      <x:c r="G364" s="137" t="str">
        <x:f>IF(OR(E364="",F364=""),"",(F364-E364)*1440)</x:f>
      </x:c>
      <x:c r="H364" s="138" t="str">
        <x:f>IF(G364="","",G364/60)</x:f>
      </x:c>
      <x:c r="I364" s="141"/>
    </x:row>
    <x:row r="365">
      <x:c r="A365" s="139"/>
      <x:c r="B365" s="117"/>
      <x:c r="C365" s="117"/>
      <x:c r="D365" s="117"/>
      <x:c r="E365" s="118"/>
      <x:c r="F365" s="140"/>
      <x:c r="G365" s="137" t="str">
        <x:f>IF(OR(E365="",F365=""),"",(F365-E365)*1440)</x:f>
      </x:c>
      <x:c r="H365" s="138" t="str">
        <x:f>IF(G365="","",G365/60)</x:f>
      </x:c>
      <x:c r="I365" s="141"/>
    </x:row>
    <x:row r="366">
      <x:c r="A366" s="139"/>
      <x:c r="B366" s="117"/>
      <x:c r="C366" s="117"/>
      <x:c r="D366" s="117"/>
      <x:c r="E366" s="118"/>
      <x:c r="F366" s="140"/>
      <x:c r="G366" s="137" t="str">
        <x:f>IF(OR(E366="",F366=""),"",(F366-E366)*1440)</x:f>
      </x:c>
      <x:c r="H366" s="138" t="str">
        <x:f>IF(G366="","",G366/60)</x:f>
      </x:c>
      <x:c r="I366" s="141"/>
    </x:row>
    <x:row r="367">
      <x:c r="A367" s="139"/>
      <x:c r="B367" s="117"/>
      <x:c r="C367" s="117"/>
      <x:c r="D367" s="117"/>
      <x:c r="E367" s="118"/>
      <x:c r="F367" s="140"/>
      <x:c r="G367" s="137" t="str">
        <x:f>IF(OR(E367="",F367=""),"",(F367-E367)*1440)</x:f>
      </x:c>
      <x:c r="H367" s="138" t="str">
        <x:f>IF(G367="","",G367/60)</x:f>
      </x:c>
      <x:c r="I367" s="141"/>
    </x:row>
    <x:row r="368">
      <x:c r="A368" s="139"/>
      <x:c r="B368" s="117"/>
      <x:c r="C368" s="117"/>
      <x:c r="D368" s="117"/>
      <x:c r="E368" s="118"/>
      <x:c r="F368" s="140"/>
      <x:c r="G368" s="137" t="str">
        <x:f>IF(OR(E368="",F368=""),"",(F368-E368)*1440)</x:f>
      </x:c>
      <x:c r="H368" s="138" t="str">
        <x:f>IF(G368="","",G368/60)</x:f>
      </x:c>
      <x:c r="I368" s="141"/>
    </x:row>
    <x:row r="369">
      <x:c r="A369" s="139"/>
      <x:c r="B369" s="117"/>
      <x:c r="C369" s="117"/>
      <x:c r="D369" s="117"/>
      <x:c r="E369" s="118"/>
      <x:c r="F369" s="140"/>
      <x:c r="G369" s="137" t="str">
        <x:f>IF(OR(E369="",F369=""),"",(F369-E369)*1440)</x:f>
      </x:c>
      <x:c r="H369" s="138" t="str">
        <x:f>IF(G369="","",G369/60)</x:f>
      </x:c>
      <x:c r="I369" s="141"/>
    </x:row>
    <x:row r="370">
      <x:c r="A370" s="139"/>
      <x:c r="B370" s="117"/>
      <x:c r="C370" s="117"/>
      <x:c r="D370" s="117"/>
      <x:c r="E370" s="118"/>
      <x:c r="F370" s="140"/>
      <x:c r="G370" s="137" t="str">
        <x:f>IF(OR(E370="",F370=""),"",(F370-E370)*1440)</x:f>
      </x:c>
      <x:c r="H370" s="138" t="str">
        <x:f>IF(G370="","",G370/60)</x:f>
      </x:c>
      <x:c r="I370" s="141"/>
    </x:row>
    <x:row r="371">
      <x:c r="A371" s="139"/>
      <x:c r="B371" s="117"/>
      <x:c r="C371" s="117"/>
      <x:c r="D371" s="117"/>
      <x:c r="E371" s="118"/>
      <x:c r="F371" s="140"/>
      <x:c r="G371" s="137" t="str">
        <x:f>IF(OR(E371="",F371=""),"",(F371-E371)*1440)</x:f>
      </x:c>
      <x:c r="H371" s="138" t="str">
        <x:f>IF(G371="","",G371/60)</x:f>
      </x:c>
      <x:c r="I371" s="141"/>
    </x:row>
    <x:row r="372">
      <x:c r="A372" s="139"/>
      <x:c r="B372" s="117"/>
      <x:c r="C372" s="117"/>
      <x:c r="D372" s="117"/>
      <x:c r="E372" s="118"/>
      <x:c r="F372" s="140"/>
      <x:c r="G372" s="137" t="str">
        <x:f>IF(OR(E372="",F372=""),"",(F372-E372)*1440)</x:f>
      </x:c>
      <x:c r="H372" s="138" t="str">
        <x:f>IF(G372="","",G372/60)</x:f>
      </x:c>
      <x:c r="I372" s="141"/>
    </x:row>
    <x:row r="373">
      <x:c r="A373" s="139"/>
      <x:c r="B373" s="117"/>
      <x:c r="C373" s="117"/>
      <x:c r="D373" s="117"/>
      <x:c r="E373" s="118"/>
      <x:c r="F373" s="140"/>
      <x:c r="G373" s="137" t="str">
        <x:f>IF(OR(E373="",F373=""),"",(F373-E373)*1440)</x:f>
      </x:c>
      <x:c r="H373" s="138" t="str">
        <x:f>IF(G373="","",G373/60)</x:f>
      </x:c>
      <x:c r="I373" s="141"/>
    </x:row>
    <x:row r="374">
      <x:c r="A374" s="139"/>
      <x:c r="B374" s="117"/>
      <x:c r="C374" s="117"/>
      <x:c r="D374" s="117"/>
      <x:c r="E374" s="118"/>
      <x:c r="F374" s="140"/>
      <x:c r="G374" s="137" t="str">
        <x:f>IF(OR(E374="",F374=""),"",(F374-E374)*1440)</x:f>
      </x:c>
      <x:c r="H374" s="138" t="str">
        <x:f>IF(G374="","",G374/60)</x:f>
      </x:c>
      <x:c r="I374" s="141"/>
    </x:row>
    <x:row r="375">
      <x:c r="A375" s="139"/>
      <x:c r="B375" s="117"/>
      <x:c r="C375" s="117"/>
      <x:c r="D375" s="117"/>
      <x:c r="E375" s="118"/>
      <x:c r="F375" s="140"/>
      <x:c r="G375" s="137" t="str">
        <x:f>IF(OR(E375="",F375=""),"",(F375-E375)*1440)</x:f>
      </x:c>
      <x:c r="H375" s="138" t="str">
        <x:f>IF(G375="","",G375/60)</x:f>
      </x:c>
      <x:c r="I375" s="141"/>
    </x:row>
    <x:row r="376">
      <x:c r="A376" s="139"/>
      <x:c r="B376" s="117"/>
      <x:c r="C376" s="117"/>
      <x:c r="D376" s="117"/>
      <x:c r="E376" s="118"/>
      <x:c r="F376" s="140"/>
      <x:c r="G376" s="137" t="str">
        <x:f>IF(OR(E376="",F376=""),"",(F376-E376)*1440)</x:f>
      </x:c>
      <x:c r="H376" s="138" t="str">
        <x:f>IF(G376="","",G376/60)</x:f>
      </x:c>
      <x:c r="I376" s="141"/>
    </x:row>
    <x:row r="377">
      <x:c r="A377" s="139"/>
      <x:c r="B377" s="117"/>
      <x:c r="C377" s="117"/>
      <x:c r="D377" s="117"/>
      <x:c r="E377" s="118"/>
      <x:c r="F377" s="140"/>
      <x:c r="G377" s="137" t="str">
        <x:f>IF(OR(E377="",F377=""),"",(F377-E377)*1440)</x:f>
      </x:c>
      <x:c r="H377" s="138" t="str">
        <x:f>IF(G377="","",G377/60)</x:f>
      </x:c>
      <x:c r="I377" s="141"/>
    </x:row>
    <x:row r="378">
      <x:c r="A378" s="139"/>
      <x:c r="B378" s="117"/>
      <x:c r="C378" s="117"/>
      <x:c r="D378" s="117"/>
      <x:c r="E378" s="118"/>
      <x:c r="F378" s="140"/>
      <x:c r="G378" s="137" t="str">
        <x:f>IF(OR(E378="",F378=""),"",(F378-E378)*1440)</x:f>
      </x:c>
      <x:c r="H378" s="138" t="str">
        <x:f>IF(G378="","",G378/60)</x:f>
      </x:c>
      <x:c r="I378" s="141"/>
    </x:row>
    <x:row r="379">
      <x:c r="A379" s="139"/>
      <x:c r="B379" s="117"/>
      <x:c r="C379" s="117"/>
      <x:c r="D379" s="117"/>
      <x:c r="E379" s="118"/>
      <x:c r="F379" s="140"/>
      <x:c r="G379" s="137" t="str">
        <x:f>IF(OR(E379="",F379=""),"",(F379-E379)*1440)</x:f>
      </x:c>
      <x:c r="H379" s="138" t="str">
        <x:f>IF(G379="","",G379/60)</x:f>
      </x:c>
      <x:c r="I379" s="141"/>
    </x:row>
    <x:row r="380">
      <x:c r="A380" s="139"/>
      <x:c r="B380" s="117"/>
      <x:c r="C380" s="117"/>
      <x:c r="D380" s="117"/>
      <x:c r="E380" s="118"/>
      <x:c r="F380" s="140"/>
      <x:c r="G380" s="137" t="str">
        <x:f>IF(OR(E380="",F380=""),"",(F380-E380)*1440)</x:f>
      </x:c>
      <x:c r="H380" s="138" t="str">
        <x:f>IF(G380="","",G380/60)</x:f>
      </x:c>
      <x:c r="I380" s="141"/>
    </x:row>
    <x:row r="381">
      <x:c r="A381" s="139"/>
      <x:c r="B381" s="117"/>
      <x:c r="C381" s="117"/>
      <x:c r="D381" s="117"/>
      <x:c r="E381" s="118"/>
      <x:c r="F381" s="140"/>
      <x:c r="G381" s="137" t="str">
        <x:f>IF(OR(E381="",F381=""),"",(F381-E381)*1440)</x:f>
      </x:c>
      <x:c r="H381" s="138" t="str">
        <x:f>IF(G381="","",G381/60)</x:f>
      </x:c>
      <x:c r="I381" s="141"/>
    </x:row>
    <x:row r="382">
      <x:c r="A382" s="139"/>
      <x:c r="B382" s="117"/>
      <x:c r="C382" s="117"/>
      <x:c r="D382" s="117"/>
      <x:c r="E382" s="118"/>
      <x:c r="F382" s="140"/>
      <x:c r="G382" s="137" t="str">
        <x:f>IF(OR(E382="",F382=""),"",(F382-E382)*1440)</x:f>
      </x:c>
      <x:c r="H382" s="138" t="str">
        <x:f>IF(G382="","",G382/60)</x:f>
      </x:c>
      <x:c r="I382" s="141"/>
    </x:row>
    <x:row r="383">
      <x:c r="A383" s="139"/>
      <x:c r="B383" s="117"/>
      <x:c r="C383" s="117"/>
      <x:c r="D383" s="117"/>
      <x:c r="E383" s="118"/>
      <x:c r="F383" s="140"/>
      <x:c r="G383" s="137" t="str">
        <x:f>IF(OR(E383="",F383=""),"",(F383-E383)*1440)</x:f>
      </x:c>
      <x:c r="H383" s="138" t="str">
        <x:f>IF(G383="","",G383/60)</x:f>
      </x:c>
      <x:c r="I383" s="141"/>
    </x:row>
    <x:row r="384">
      <x:c r="A384" s="139"/>
      <x:c r="B384" s="117"/>
      <x:c r="C384" s="117"/>
      <x:c r="D384" s="117"/>
      <x:c r="E384" s="118"/>
      <x:c r="F384" s="140"/>
      <x:c r="G384" s="137" t="str">
        <x:f>IF(OR(E384="",F384=""),"",(F384-E384)*1440)</x:f>
      </x:c>
      <x:c r="H384" s="138" t="str">
        <x:f>IF(G384="","",G384/60)</x:f>
      </x:c>
      <x:c r="I384" s="141"/>
    </x:row>
    <x:row r="385">
      <x:c r="A385" s="139"/>
      <x:c r="B385" s="117"/>
      <x:c r="C385" s="117"/>
      <x:c r="D385" s="117"/>
      <x:c r="E385" s="118"/>
      <x:c r="F385" s="140"/>
      <x:c r="G385" s="137" t="str">
        <x:f>IF(OR(E385="",F385=""),"",(F385-E385)*1440)</x:f>
      </x:c>
      <x:c r="H385" s="138" t="str">
        <x:f>IF(G385="","",G385/60)</x:f>
      </x:c>
      <x:c r="I385" s="141"/>
    </x:row>
    <x:row r="386">
      <x:c r="A386" s="139"/>
      <x:c r="B386" s="117"/>
      <x:c r="C386" s="117"/>
      <x:c r="D386" s="117"/>
      <x:c r="E386" s="118"/>
      <x:c r="F386" s="140"/>
      <x:c r="G386" s="137" t="str">
        <x:f>IF(OR(E386="",F386=""),"",(F386-E386)*1440)</x:f>
      </x:c>
      <x:c r="H386" s="138" t="str">
        <x:f>IF(G386="","",G386/60)</x:f>
      </x:c>
      <x:c r="I386" s="141"/>
    </x:row>
    <x:row r="387">
      <x:c r="A387" s="139"/>
      <x:c r="B387" s="117"/>
      <x:c r="C387" s="117"/>
      <x:c r="D387" s="117"/>
      <x:c r="E387" s="118"/>
      <x:c r="F387" s="140"/>
      <x:c r="G387" s="137" t="str">
        <x:f>IF(OR(E387="",F387=""),"",(F387-E387)*1440)</x:f>
      </x:c>
      <x:c r="H387" s="138" t="str">
        <x:f>IF(G387="","",G387/60)</x:f>
      </x:c>
      <x:c r="I387" s="141"/>
    </x:row>
    <x:row r="388">
      <x:c r="A388" s="139"/>
      <x:c r="B388" s="117"/>
      <x:c r="C388" s="117"/>
      <x:c r="D388" s="117"/>
      <x:c r="E388" s="118"/>
      <x:c r="F388" s="140"/>
      <x:c r="G388" s="137" t="str">
        <x:f>IF(OR(E388="",F388=""),"",(F388-E388)*1440)</x:f>
      </x:c>
      <x:c r="H388" s="138" t="str">
        <x:f>IF(G388="","",G388/60)</x:f>
      </x:c>
      <x:c r="I388" s="141"/>
    </x:row>
    <x:row r="389">
      <x:c r="A389" s="139"/>
      <x:c r="B389" s="117"/>
      <x:c r="C389" s="117"/>
      <x:c r="D389" s="117"/>
      <x:c r="E389" s="118"/>
      <x:c r="F389" s="140"/>
      <x:c r="G389" s="137" t="str">
        <x:f>IF(OR(E389="",F389=""),"",(F389-E389)*1440)</x:f>
      </x:c>
      <x:c r="H389" s="138" t="str">
        <x:f>IF(G389="","",G389/60)</x:f>
      </x:c>
      <x:c r="I389" s="141"/>
    </x:row>
    <x:row r="390">
      <x:c r="A390" s="139"/>
      <x:c r="B390" s="117"/>
      <x:c r="C390" s="117"/>
      <x:c r="D390" s="117"/>
      <x:c r="E390" s="118"/>
      <x:c r="F390" s="140"/>
      <x:c r="G390" s="137" t="str">
        <x:f>IF(OR(E390="",F390=""),"",(F390-E390)*1440)</x:f>
      </x:c>
      <x:c r="H390" s="138" t="str">
        <x:f>IF(G390="","",G390/60)</x:f>
      </x:c>
      <x:c r="I390" s="141"/>
    </x:row>
    <x:row r="391">
      <x:c r="A391" s="139"/>
      <x:c r="B391" s="117"/>
      <x:c r="C391" s="117"/>
      <x:c r="D391" s="117"/>
      <x:c r="E391" s="118"/>
      <x:c r="F391" s="140"/>
      <x:c r="G391" s="137" t="str">
        <x:f>IF(OR(E391="",F391=""),"",(F391-E391)*1440)</x:f>
      </x:c>
      <x:c r="H391" s="138" t="str">
        <x:f>IF(G391="","",G391/60)</x:f>
      </x:c>
      <x:c r="I391" s="141"/>
    </x:row>
    <x:row r="392">
      <x:c r="A392" s="139"/>
      <x:c r="B392" s="117"/>
      <x:c r="C392" s="117"/>
      <x:c r="D392" s="117"/>
      <x:c r="E392" s="118"/>
      <x:c r="F392" s="140"/>
      <x:c r="G392" s="137" t="str">
        <x:f>IF(OR(E392="",F392=""),"",(F392-E392)*1440)</x:f>
      </x:c>
      <x:c r="H392" s="138" t="str">
        <x:f>IF(G392="","",G392/60)</x:f>
      </x:c>
      <x:c r="I392" s="141"/>
    </x:row>
    <x:row r="393">
      <x:c r="A393" s="139"/>
      <x:c r="B393" s="117"/>
      <x:c r="C393" s="117"/>
      <x:c r="D393" s="117"/>
      <x:c r="E393" s="118"/>
      <x:c r="F393" s="140"/>
      <x:c r="G393" s="137" t="str">
        <x:f>IF(OR(E393="",F393=""),"",(F393-E393)*1440)</x:f>
      </x:c>
      <x:c r="H393" s="138" t="str">
        <x:f>IF(G393="","",G393/60)</x:f>
      </x:c>
      <x:c r="I393" s="141"/>
    </x:row>
    <x:row r="394">
      <x:c r="A394" s="139"/>
      <x:c r="B394" s="117"/>
      <x:c r="C394" s="117"/>
      <x:c r="D394" s="117"/>
      <x:c r="E394" s="118"/>
      <x:c r="F394" s="140"/>
      <x:c r="G394" s="137" t="str">
        <x:f>IF(OR(E394="",F394=""),"",(F394-E394)*1440)</x:f>
      </x:c>
      <x:c r="H394" s="138" t="str">
        <x:f>IF(G394="","",G394/60)</x:f>
      </x:c>
      <x:c r="I394" s="141"/>
    </x:row>
    <x:row r="395">
      <x:c r="A395" s="139"/>
      <x:c r="B395" s="117"/>
      <x:c r="C395" s="117"/>
      <x:c r="D395" s="117"/>
      <x:c r="E395" s="118"/>
      <x:c r="F395" s="140"/>
      <x:c r="G395" s="137" t="str">
        <x:f>IF(OR(E395="",F395=""),"",(F395-E395)*1440)</x:f>
      </x:c>
      <x:c r="H395" s="138" t="str">
        <x:f>IF(G395="","",G395/60)</x:f>
      </x:c>
      <x:c r="I395" s="141"/>
    </x:row>
    <x:row r="396">
      <x:c r="A396" s="139"/>
      <x:c r="B396" s="117"/>
      <x:c r="C396" s="117"/>
      <x:c r="D396" s="117"/>
      <x:c r="E396" s="118"/>
      <x:c r="F396" s="140"/>
      <x:c r="G396" s="137" t="str">
        <x:f>IF(OR(E396="",F396=""),"",(F396-E396)*1440)</x:f>
      </x:c>
      <x:c r="H396" s="138" t="str">
        <x:f>IF(G396="","",G396/60)</x:f>
      </x:c>
      <x:c r="I396" s="141"/>
    </x:row>
    <x:row r="397">
      <x:c r="A397" s="139"/>
      <x:c r="B397" s="117"/>
      <x:c r="C397" s="117"/>
      <x:c r="D397" s="117"/>
      <x:c r="E397" s="118"/>
      <x:c r="F397" s="140"/>
      <x:c r="G397" s="137" t="str">
        <x:f>IF(OR(E397="",F397=""),"",(F397-E397)*1440)</x:f>
      </x:c>
      <x:c r="H397" s="138" t="str">
        <x:f>IF(G397="","",G397/60)</x:f>
      </x:c>
      <x:c r="I397" s="141"/>
    </x:row>
    <x:row r="398">
      <x:c r="A398" s="139"/>
      <x:c r="B398" s="117"/>
      <x:c r="C398" s="117"/>
      <x:c r="D398" s="117"/>
      <x:c r="E398" s="118"/>
      <x:c r="F398" s="140"/>
      <x:c r="G398" s="137" t="str">
        <x:f>IF(OR(E398="",F398=""),"",(F398-E398)*1440)</x:f>
      </x:c>
      <x:c r="H398" s="138" t="str">
        <x:f>IF(G398="","",G398/60)</x:f>
      </x:c>
      <x:c r="I398" s="141"/>
    </x:row>
    <x:row r="399">
      <x:c r="A399" s="139"/>
      <x:c r="B399" s="117"/>
      <x:c r="C399" s="117"/>
      <x:c r="D399" s="117"/>
      <x:c r="E399" s="118"/>
      <x:c r="F399" s="140"/>
      <x:c r="G399" s="137" t="str">
        <x:f>IF(OR(E399="",F399=""),"",(F399-E399)*1440)</x:f>
      </x:c>
      <x:c r="H399" s="138" t="str">
        <x:f>IF(G399="","",G399/60)</x:f>
      </x:c>
      <x:c r="I399" s="141"/>
    </x:row>
    <x:row r="400">
      <x:c r="A400" s="139"/>
      <x:c r="B400" s="117"/>
      <x:c r="C400" s="117"/>
      <x:c r="D400" s="117"/>
      <x:c r="E400" s="118"/>
      <x:c r="F400" s="140"/>
      <x:c r="G400" s="137" t="str">
        <x:f>IF(OR(E400="",F400=""),"",(F400-E400)*1440)</x:f>
      </x:c>
      <x:c r="H400" s="138" t="str">
        <x:f>IF(G400="","",G400/60)</x:f>
      </x:c>
      <x:c r="I400" s="141"/>
    </x:row>
    <x:row r="401">
      <x:c r="A401" s="139"/>
      <x:c r="B401" s="117"/>
      <x:c r="C401" s="117"/>
      <x:c r="D401" s="117"/>
      <x:c r="E401" s="118"/>
      <x:c r="F401" s="140"/>
      <x:c r="G401" s="137" t="str">
        <x:f>IF(OR(E401="",F401=""),"",(F401-E401)*1440)</x:f>
      </x:c>
      <x:c r="H401" s="138" t="str">
        <x:f>IF(G401="","",G401/60)</x:f>
      </x:c>
      <x:c r="I401" s="141"/>
    </x:row>
    <x:row r="402">
      <x:c r="A402" s="139"/>
      <x:c r="B402" s="117"/>
      <x:c r="C402" s="117"/>
      <x:c r="D402" s="117"/>
      <x:c r="E402" s="118"/>
      <x:c r="F402" s="140"/>
      <x:c r="G402" s="137" t="str">
        <x:f>IF(OR(E402="",F402=""),"",(F402-E402)*1440)</x:f>
      </x:c>
      <x:c r="H402" s="138" t="str">
        <x:f>IF(G402="","",G402/60)</x:f>
      </x:c>
      <x:c r="I402" s="141"/>
    </x:row>
    <x:row r="403">
      <x:c r="A403" s="139"/>
      <x:c r="B403" s="117"/>
      <x:c r="C403" s="117"/>
      <x:c r="D403" s="117"/>
      <x:c r="E403" s="118"/>
      <x:c r="F403" s="140"/>
      <x:c r="G403" s="137" t="str">
        <x:f>IF(OR(E403="",F403=""),"",(F403-E403)*1440)</x:f>
      </x:c>
      <x:c r="H403" s="138" t="str">
        <x:f>IF(G403="","",G403/60)</x:f>
      </x:c>
      <x:c r="I403" s="141"/>
    </x:row>
    <x:row r="404">
      <x:c r="A404" s="139"/>
      <x:c r="B404" s="117"/>
      <x:c r="C404" s="117"/>
      <x:c r="D404" s="117"/>
      <x:c r="E404" s="118"/>
      <x:c r="F404" s="140"/>
      <x:c r="G404" s="137" t="str">
        <x:f>IF(OR(E404="",F404=""),"",(F404-E404)*1440)</x:f>
      </x:c>
      <x:c r="H404" s="138" t="str">
        <x:f>IF(G404="","",G404/60)</x:f>
      </x:c>
      <x:c r="I404" s="141"/>
    </x:row>
    <x:row r="405">
      <x:c r="A405" s="139"/>
      <x:c r="B405" s="117"/>
      <x:c r="C405" s="117"/>
      <x:c r="D405" s="117"/>
      <x:c r="E405" s="118"/>
      <x:c r="F405" s="140"/>
      <x:c r="G405" s="137" t="str">
        <x:f>IF(OR(E405="",F405=""),"",(F405-E405)*1440)</x:f>
      </x:c>
      <x:c r="H405" s="138" t="str">
        <x:f>IF(G405="","",G405/60)</x:f>
      </x:c>
      <x:c r="I405" s="141"/>
    </x:row>
    <x:row r="406">
      <x:c r="A406" s="139"/>
      <x:c r="B406" s="117"/>
      <x:c r="C406" s="117"/>
      <x:c r="D406" s="117"/>
      <x:c r="E406" s="118"/>
      <x:c r="F406" s="140"/>
      <x:c r="G406" s="137" t="str">
        <x:f>IF(OR(E406="",F406=""),"",(F406-E406)*1440)</x:f>
      </x:c>
      <x:c r="H406" s="138" t="str">
        <x:f>IF(G406="","",G406/60)</x:f>
      </x:c>
      <x:c r="I406" s="141"/>
    </x:row>
    <x:row r="407">
      <x:c r="A407" s="139"/>
      <x:c r="B407" s="117"/>
      <x:c r="C407" s="117"/>
      <x:c r="D407" s="117"/>
      <x:c r="E407" s="118"/>
      <x:c r="F407" s="140"/>
      <x:c r="G407" s="137" t="str">
        <x:f>IF(OR(E407="",F407=""),"",(F407-E407)*1440)</x:f>
      </x:c>
      <x:c r="H407" s="138" t="str">
        <x:f>IF(G407="","",G407/60)</x:f>
      </x:c>
      <x:c r="I407" s="141"/>
    </x:row>
    <x:row r="408">
      <x:c r="A408" s="139"/>
      <x:c r="B408" s="117"/>
      <x:c r="C408" s="117"/>
      <x:c r="D408" s="117"/>
      <x:c r="E408" s="118"/>
      <x:c r="F408" s="140"/>
      <x:c r="G408" s="137" t="str">
        <x:f>IF(OR(E408="",F408=""),"",(F408-E408)*1440)</x:f>
      </x:c>
      <x:c r="H408" s="138" t="str">
        <x:f>IF(G408="","",G408/60)</x:f>
      </x:c>
      <x:c r="I408" s="141"/>
    </x:row>
    <x:row r="409">
      <x:c r="A409" s="139"/>
      <x:c r="B409" s="117"/>
      <x:c r="C409" s="117"/>
      <x:c r="D409" s="117"/>
      <x:c r="E409" s="118"/>
      <x:c r="F409" s="140"/>
      <x:c r="G409" s="137" t="str">
        <x:f>IF(OR(E409="",F409=""),"",(F409-E409)*1440)</x:f>
      </x:c>
      <x:c r="H409" s="138" t="str">
        <x:f>IF(G409="","",G409/60)</x:f>
      </x:c>
      <x:c r="I409" s="141"/>
    </x:row>
    <x:row r="410">
      <x:c r="A410" s="139"/>
      <x:c r="B410" s="117"/>
      <x:c r="C410" s="117"/>
      <x:c r="D410" s="117"/>
      <x:c r="E410" s="118"/>
      <x:c r="F410" s="140"/>
      <x:c r="G410" s="137" t="str">
        <x:f>IF(OR(E410="",F410=""),"",(F410-E410)*1440)</x:f>
      </x:c>
      <x:c r="H410" s="138" t="str">
        <x:f>IF(G410="","",G410/60)</x:f>
      </x:c>
      <x:c r="I410" s="141"/>
    </x:row>
    <x:row r="411">
      <x:c r="A411" s="139"/>
      <x:c r="B411" s="117"/>
      <x:c r="C411" s="117"/>
      <x:c r="D411" s="117"/>
      <x:c r="E411" s="118"/>
      <x:c r="F411" s="140"/>
      <x:c r="G411" s="137" t="str">
        <x:f>IF(OR(E411="",F411=""),"",(F411-E411)*1440)</x:f>
      </x:c>
      <x:c r="H411" s="138" t="str">
        <x:f>IF(G411="","",G411/60)</x:f>
      </x:c>
      <x:c r="I411" s="141"/>
    </x:row>
    <x:row r="412">
      <x:c r="A412" s="139"/>
      <x:c r="B412" s="117"/>
      <x:c r="C412" s="117"/>
      <x:c r="D412" s="117"/>
      <x:c r="E412" s="118"/>
      <x:c r="F412" s="140"/>
      <x:c r="G412" s="137" t="str">
        <x:f>IF(OR(E412="",F412=""),"",(F412-E412)*1440)</x:f>
      </x:c>
      <x:c r="H412" s="138" t="str">
        <x:f>IF(G412="","",G412/60)</x:f>
      </x:c>
      <x:c r="I412" s="141"/>
    </x:row>
    <x:row r="413">
      <x:c r="A413" s="139"/>
      <x:c r="B413" s="117"/>
      <x:c r="C413" s="117"/>
      <x:c r="D413" s="117"/>
      <x:c r="E413" s="118"/>
      <x:c r="F413" s="140"/>
      <x:c r="G413" s="137" t="str">
        <x:f>IF(OR(E413="",F413=""),"",(F413-E413)*1440)</x:f>
      </x:c>
      <x:c r="H413" s="138" t="str">
        <x:f>IF(G413="","",G413/60)</x:f>
      </x:c>
      <x:c r="I413" s="141"/>
    </x:row>
    <x:row r="414">
      <x:c r="A414" s="139"/>
      <x:c r="B414" s="117"/>
      <x:c r="C414" s="117"/>
      <x:c r="D414" s="117"/>
      <x:c r="E414" s="118"/>
      <x:c r="F414" s="140"/>
      <x:c r="G414" s="137" t="str">
        <x:f>IF(OR(E414="",F414=""),"",(F414-E414)*1440)</x:f>
      </x:c>
      <x:c r="H414" s="138" t="str">
        <x:f>IF(G414="","",G414/60)</x:f>
      </x:c>
      <x:c r="I414" s="141"/>
    </x:row>
    <x:row r="415">
      <x:c r="A415" s="139"/>
      <x:c r="B415" s="117"/>
      <x:c r="C415" s="117"/>
      <x:c r="D415" s="117"/>
      <x:c r="E415" s="118"/>
      <x:c r="F415" s="140"/>
      <x:c r="G415" s="137" t="str">
        <x:f>IF(OR(E415="",F415=""),"",(F415-E415)*1440)</x:f>
      </x:c>
      <x:c r="H415" s="138" t="str">
        <x:f>IF(G415="","",G415/60)</x:f>
      </x:c>
      <x:c r="I415" s="141"/>
    </x:row>
    <x:row r="416">
      <x:c r="A416" s="139"/>
      <x:c r="B416" s="117"/>
      <x:c r="C416" s="117"/>
      <x:c r="D416" s="117"/>
      <x:c r="E416" s="118"/>
      <x:c r="F416" s="140"/>
      <x:c r="G416" s="137" t="str">
        <x:f>IF(OR(E416="",F416=""),"",(F416-E416)*1440)</x:f>
      </x:c>
      <x:c r="H416" s="138" t="str">
        <x:f>IF(G416="","",G416/60)</x:f>
      </x:c>
      <x:c r="I416" s="141"/>
    </x:row>
    <x:row r="417">
      <x:c r="A417" s="139"/>
      <x:c r="B417" s="117"/>
      <x:c r="C417" s="117"/>
      <x:c r="D417" s="117"/>
      <x:c r="E417" s="118"/>
      <x:c r="F417" s="140"/>
      <x:c r="G417" s="137" t="str">
        <x:f>IF(OR(E417="",F417=""),"",(F417-E417)*1440)</x:f>
      </x:c>
      <x:c r="H417" s="138" t="str">
        <x:f>IF(G417="","",G417/60)</x:f>
      </x:c>
      <x:c r="I417" s="141"/>
    </x:row>
    <x:row r="418">
      <x:c r="A418" s="139"/>
      <x:c r="B418" s="117"/>
      <x:c r="C418" s="117"/>
      <x:c r="D418" s="117"/>
      <x:c r="E418" s="118"/>
      <x:c r="F418" s="140"/>
      <x:c r="G418" s="137" t="str">
        <x:f>IF(OR(E418="",F418=""),"",(F418-E418)*1440)</x:f>
      </x:c>
      <x:c r="H418" s="138" t="str">
        <x:f>IF(G418="","",G418/60)</x:f>
      </x:c>
      <x:c r="I418" s="141"/>
    </x:row>
    <x:row r="419">
      <x:c r="A419" s="139"/>
      <x:c r="B419" s="117"/>
      <x:c r="C419" s="117"/>
      <x:c r="D419" s="117"/>
      <x:c r="E419" s="118"/>
      <x:c r="F419" s="140"/>
      <x:c r="G419" s="137" t="str">
        <x:f>IF(OR(E419="",F419=""),"",(F419-E419)*1440)</x:f>
      </x:c>
      <x:c r="H419" s="138" t="str">
        <x:f>IF(G419="","",G419/60)</x:f>
      </x:c>
      <x:c r="I419" s="141"/>
    </x:row>
    <x:row r="420">
      <x:c r="A420" s="139"/>
      <x:c r="B420" s="117"/>
      <x:c r="C420" s="117"/>
      <x:c r="D420" s="117"/>
      <x:c r="E420" s="118"/>
      <x:c r="F420" s="140"/>
      <x:c r="G420" s="137" t="str">
        <x:f>IF(OR(E420="",F420=""),"",(F420-E420)*1440)</x:f>
      </x:c>
      <x:c r="H420" s="138" t="str">
        <x:f>IF(G420="","",G420/60)</x:f>
      </x:c>
      <x:c r="I420" s="141"/>
    </x:row>
    <x:row r="421">
      <x:c r="A421" s="139"/>
      <x:c r="B421" s="117"/>
      <x:c r="C421" s="117"/>
      <x:c r="D421" s="117"/>
      <x:c r="E421" s="118"/>
      <x:c r="F421" s="140"/>
      <x:c r="G421" s="137" t="str">
        <x:f>IF(OR(E421="",F421=""),"",(F421-E421)*1440)</x:f>
      </x:c>
      <x:c r="H421" s="138" t="str">
        <x:f>IF(G421="","",G421/60)</x:f>
      </x:c>
      <x:c r="I421" s="141"/>
    </x:row>
    <x:row r="422">
      <x:c r="A422" s="139"/>
      <x:c r="B422" s="117"/>
      <x:c r="C422" s="117"/>
      <x:c r="D422" s="117"/>
      <x:c r="E422" s="118"/>
      <x:c r="F422" s="140"/>
      <x:c r="G422" s="137" t="str">
        <x:f>IF(OR(E422="",F422=""),"",(F422-E422)*1440)</x:f>
      </x:c>
      <x:c r="H422" s="138" t="str">
        <x:f>IF(G422="","",G422/60)</x:f>
      </x:c>
      <x:c r="I422" s="141"/>
    </x:row>
    <x:row r="423">
      <x:c r="A423" s="139"/>
      <x:c r="B423" s="117"/>
      <x:c r="C423" s="117"/>
      <x:c r="D423" s="117"/>
      <x:c r="E423" s="118"/>
      <x:c r="F423" s="140"/>
      <x:c r="G423" s="137" t="str">
        <x:f>IF(OR(E423="",F423=""),"",(F423-E423)*1440)</x:f>
      </x:c>
      <x:c r="H423" s="138" t="str">
        <x:f>IF(G423="","",G423/60)</x:f>
      </x:c>
      <x:c r="I423" s="141"/>
    </x:row>
    <x:row r="424">
      <x:c r="A424" s="139"/>
      <x:c r="B424" s="117"/>
      <x:c r="C424" s="117"/>
      <x:c r="D424" s="117"/>
      <x:c r="E424" s="118"/>
      <x:c r="F424" s="140"/>
      <x:c r="G424" s="137" t="str">
        <x:f>IF(OR(E424="",F424=""),"",(F424-E424)*1440)</x:f>
      </x:c>
      <x:c r="H424" s="138" t="str">
        <x:f>IF(G424="","",G424/60)</x:f>
      </x:c>
      <x:c r="I424" s="141"/>
    </x:row>
    <x:row r="425">
      <x:c r="A425" s="139"/>
      <x:c r="B425" s="117"/>
      <x:c r="C425" s="117"/>
      <x:c r="D425" s="117"/>
      <x:c r="E425" s="118"/>
      <x:c r="F425" s="140"/>
      <x:c r="G425" s="137" t="str">
        <x:f>IF(OR(E425="",F425=""),"",(F425-E425)*1440)</x:f>
      </x:c>
      <x:c r="H425" s="138" t="str">
        <x:f>IF(G425="","",G425/60)</x:f>
      </x:c>
      <x:c r="I425" s="141"/>
    </x:row>
    <x:row r="426">
      <x:c r="A426" s="139"/>
      <x:c r="B426" s="117"/>
      <x:c r="C426" s="117"/>
      <x:c r="D426" s="117"/>
      <x:c r="E426" s="118"/>
      <x:c r="F426" s="140"/>
      <x:c r="G426" s="137" t="str">
        <x:f>IF(OR(E426="",F426=""),"",(F426-E426)*1440)</x:f>
      </x:c>
      <x:c r="H426" s="138" t="str">
        <x:f>IF(G426="","",G426/60)</x:f>
      </x:c>
      <x:c r="I426" s="141"/>
    </x:row>
    <x:row r="427">
      <x:c r="A427" s="139"/>
      <x:c r="B427" s="117"/>
      <x:c r="C427" s="117"/>
      <x:c r="D427" s="117"/>
      <x:c r="E427" s="118"/>
      <x:c r="F427" s="140"/>
      <x:c r="G427" s="137" t="str">
        <x:f>IF(OR(E427="",F427=""),"",(F427-E427)*1440)</x:f>
      </x:c>
      <x:c r="H427" s="138" t="str">
        <x:f>IF(G427="","",G427/60)</x:f>
      </x:c>
      <x:c r="I427" s="141"/>
    </x:row>
    <x:row r="428">
      <x:c r="A428" s="139"/>
      <x:c r="B428" s="117"/>
      <x:c r="C428" s="117"/>
      <x:c r="D428" s="117"/>
      <x:c r="E428" s="118"/>
      <x:c r="F428" s="140"/>
      <x:c r="G428" s="137" t="str">
        <x:f>IF(OR(E428="",F428=""),"",(F428-E428)*1440)</x:f>
      </x:c>
      <x:c r="H428" s="138" t="str">
        <x:f>IF(G428="","",G428/60)</x:f>
      </x:c>
      <x:c r="I428" s="141"/>
    </x:row>
    <x:row r="429">
      <x:c r="A429" s="139"/>
      <x:c r="B429" s="117"/>
      <x:c r="C429" s="117"/>
      <x:c r="D429" s="117"/>
      <x:c r="E429" s="118"/>
      <x:c r="F429" s="140"/>
      <x:c r="G429" s="137" t="str">
        <x:f>IF(OR(E429="",F429=""),"",(F429-E429)*1440)</x:f>
      </x:c>
      <x:c r="H429" s="138" t="str">
        <x:f>IF(G429="","",G429/60)</x:f>
      </x:c>
      <x:c r="I429" s="141"/>
    </x:row>
    <x:row r="430">
      <x:c r="A430" s="139"/>
      <x:c r="B430" s="117"/>
      <x:c r="C430" s="117"/>
      <x:c r="D430" s="117"/>
      <x:c r="E430" s="118"/>
      <x:c r="F430" s="140"/>
      <x:c r="G430" s="137" t="str">
        <x:f>IF(OR(E430="",F430=""),"",(F430-E430)*1440)</x:f>
      </x:c>
      <x:c r="H430" s="138" t="str">
        <x:f>IF(G430="","",G430/60)</x:f>
      </x:c>
      <x:c r="I430" s="141"/>
    </x:row>
    <x:row r="431">
      <x:c r="A431" s="139"/>
      <x:c r="B431" s="117"/>
      <x:c r="C431" s="117"/>
      <x:c r="D431" s="117"/>
      <x:c r="E431" s="118"/>
      <x:c r="F431" s="140"/>
      <x:c r="G431" s="137" t="str">
        <x:f>IF(OR(E431="",F431=""),"",(F431-E431)*1440)</x:f>
      </x:c>
      <x:c r="H431" s="138" t="str">
        <x:f>IF(G431="","",G431/60)</x:f>
      </x:c>
      <x:c r="I431" s="141"/>
    </x:row>
    <x:row r="432">
      <x:c r="A432" s="139"/>
      <x:c r="B432" s="117"/>
      <x:c r="C432" s="117"/>
      <x:c r="D432" s="117"/>
      <x:c r="E432" s="118"/>
      <x:c r="F432" s="140"/>
      <x:c r="G432" s="137" t="str">
        <x:f>IF(OR(E432="",F432=""),"",(F432-E432)*1440)</x:f>
      </x:c>
      <x:c r="H432" s="138" t="str">
        <x:f>IF(G432="","",G432/60)</x:f>
      </x:c>
      <x:c r="I432" s="141"/>
    </x:row>
    <x:row r="433">
      <x:c r="A433" s="139"/>
      <x:c r="B433" s="117"/>
      <x:c r="C433" s="117"/>
      <x:c r="D433" s="117"/>
      <x:c r="E433" s="118"/>
      <x:c r="F433" s="140"/>
      <x:c r="G433" s="137" t="str">
        <x:f>IF(OR(E433="",F433=""),"",(F433-E433)*1440)</x:f>
      </x:c>
      <x:c r="H433" s="138" t="str">
        <x:f>IF(G433="","",G433/60)</x:f>
      </x:c>
      <x:c r="I433" s="141"/>
    </x:row>
    <x:row r="434">
      <x:c r="A434" s="139"/>
      <x:c r="B434" s="117"/>
      <x:c r="C434" s="117"/>
      <x:c r="D434" s="117"/>
      <x:c r="E434" s="118"/>
      <x:c r="F434" s="140"/>
      <x:c r="G434" s="137" t="str">
        <x:f>IF(OR(E434="",F434=""),"",(F434-E434)*1440)</x:f>
      </x:c>
      <x:c r="H434" s="138" t="str">
        <x:f>IF(G434="","",G434/60)</x:f>
      </x:c>
      <x:c r="I434" s="141"/>
    </x:row>
    <x:row r="435">
      <x:c r="A435" s="139"/>
      <x:c r="B435" s="117"/>
      <x:c r="C435" s="117"/>
      <x:c r="D435" s="117"/>
      <x:c r="E435" s="118"/>
      <x:c r="F435" s="140"/>
      <x:c r="G435" s="137" t="str">
        <x:f>IF(OR(E435="",F435=""),"",(F435-E435)*1440)</x:f>
      </x:c>
      <x:c r="H435" s="138" t="str">
        <x:f>IF(G435="","",G435/60)</x:f>
      </x:c>
      <x:c r="I435" s="141"/>
    </x:row>
    <x:row r="436">
      <x:c r="A436" s="139"/>
      <x:c r="B436" s="117"/>
      <x:c r="C436" s="117"/>
      <x:c r="D436" s="117"/>
      <x:c r="E436" s="118"/>
      <x:c r="F436" s="140"/>
      <x:c r="G436" s="137" t="str">
        <x:f>IF(OR(E436="",F436=""),"",(F436-E436)*1440)</x:f>
      </x:c>
      <x:c r="H436" s="138" t="str">
        <x:f>IF(G436="","",G436/60)</x:f>
      </x:c>
      <x:c r="I436" s="141"/>
    </x:row>
    <x:row r="437">
      <x:c r="A437" s="139"/>
      <x:c r="B437" s="117"/>
      <x:c r="C437" s="117"/>
      <x:c r="D437" s="117"/>
      <x:c r="E437" s="118"/>
      <x:c r="F437" s="140"/>
      <x:c r="G437" s="137" t="str">
        <x:f>IF(OR(E437="",F437=""),"",(F437-E437)*1440)</x:f>
      </x:c>
      <x:c r="H437" s="138" t="str">
        <x:f>IF(G437="","",G437/60)</x:f>
      </x:c>
      <x:c r="I437" s="141"/>
    </x:row>
    <x:row r="438">
      <x:c r="A438" s="139"/>
      <x:c r="B438" s="117"/>
      <x:c r="C438" s="117"/>
      <x:c r="D438" s="117"/>
      <x:c r="E438" s="118"/>
      <x:c r="F438" s="140"/>
      <x:c r="G438" s="137" t="str">
        <x:f>IF(OR(E438="",F438=""),"",(F438-E438)*1440)</x:f>
      </x:c>
      <x:c r="H438" s="138" t="str">
        <x:f>IF(G438="","",G438/60)</x:f>
      </x:c>
      <x:c r="I438" s="141"/>
    </x:row>
    <x:row r="439">
      <x:c r="A439" s="139"/>
      <x:c r="B439" s="117"/>
      <x:c r="C439" s="117"/>
      <x:c r="D439" s="117"/>
      <x:c r="E439" s="118"/>
      <x:c r="F439" s="140"/>
      <x:c r="G439" s="137" t="str">
        <x:f>IF(OR(E439="",F439=""),"",(F439-E439)*1440)</x:f>
      </x:c>
      <x:c r="H439" s="138" t="str">
        <x:f>IF(G439="","",G439/60)</x:f>
      </x:c>
      <x:c r="I439" s="141"/>
    </x:row>
    <x:row r="440">
      <x:c r="A440" s="139"/>
      <x:c r="B440" s="117"/>
      <x:c r="C440" s="117"/>
      <x:c r="D440" s="117"/>
      <x:c r="E440" s="118"/>
      <x:c r="F440" s="140"/>
      <x:c r="G440" s="137" t="str">
        <x:f>IF(OR(E440="",F440=""),"",(F440-E440)*1440)</x:f>
      </x:c>
      <x:c r="H440" s="138" t="str">
        <x:f>IF(G440="","",G440/60)</x:f>
      </x:c>
      <x:c r="I440" s="141"/>
    </x:row>
    <x:row r="441">
      <x:c r="A441" s="139"/>
      <x:c r="B441" s="117"/>
      <x:c r="C441" s="117"/>
      <x:c r="D441" s="117"/>
      <x:c r="E441" s="118"/>
      <x:c r="F441" s="140"/>
      <x:c r="G441" s="137" t="str">
        <x:f>IF(OR(E441="",F441=""),"",(F441-E441)*1440)</x:f>
      </x:c>
      <x:c r="H441" s="138" t="str">
        <x:f>IF(G441="","",G441/60)</x:f>
      </x:c>
      <x:c r="I441" s="141"/>
    </x:row>
    <x:row r="442">
      <x:c r="A442" s="139"/>
      <x:c r="B442" s="117"/>
      <x:c r="C442" s="117"/>
      <x:c r="D442" s="117"/>
      <x:c r="E442" s="118"/>
      <x:c r="F442" s="140"/>
      <x:c r="G442" s="137" t="str">
        <x:f>IF(OR(E442="",F442=""),"",(F442-E442)*1440)</x:f>
      </x:c>
      <x:c r="H442" s="138" t="str">
        <x:f>IF(G442="","",G442/60)</x:f>
      </x:c>
      <x:c r="I442" s="141"/>
    </x:row>
    <x:row r="443">
      <x:c r="A443" s="139"/>
      <x:c r="B443" s="117"/>
      <x:c r="C443" s="117"/>
      <x:c r="D443" s="117"/>
      <x:c r="E443" s="118"/>
      <x:c r="F443" s="140"/>
      <x:c r="G443" s="137" t="str">
        <x:f>IF(OR(E443="",F443=""),"",(F443-E443)*1440)</x:f>
      </x:c>
      <x:c r="H443" s="138" t="str">
        <x:f>IF(G443="","",G443/60)</x:f>
      </x:c>
      <x:c r="I443" s="141"/>
    </x:row>
    <x:row r="444">
      <x:c r="A444" s="139"/>
      <x:c r="B444" s="117"/>
      <x:c r="C444" s="117"/>
      <x:c r="D444" s="117"/>
      <x:c r="E444" s="118"/>
      <x:c r="F444" s="140"/>
      <x:c r="G444" s="137" t="str">
        <x:f>IF(OR(E444="",F444=""),"",(F444-E444)*1440)</x:f>
      </x:c>
      <x:c r="H444" s="138" t="str">
        <x:f>IF(G444="","",G444/60)</x:f>
      </x:c>
      <x:c r="I444" s="141"/>
    </x:row>
    <x:row r="445">
      <x:c r="A445" s="139"/>
      <x:c r="B445" s="117"/>
      <x:c r="C445" s="117"/>
      <x:c r="D445" s="117"/>
      <x:c r="E445" s="118"/>
      <x:c r="F445" s="140"/>
      <x:c r="G445" s="137" t="str">
        <x:f>IF(OR(E445="",F445=""),"",(F445-E445)*1440)</x:f>
      </x:c>
      <x:c r="H445" s="138" t="str">
        <x:f>IF(G445="","",G445/60)</x:f>
      </x:c>
      <x:c r="I445" s="141"/>
    </x:row>
    <x:row r="446">
      <x:c r="A446" s="139"/>
      <x:c r="B446" s="117"/>
      <x:c r="C446" s="117"/>
      <x:c r="D446" s="117"/>
      <x:c r="E446" s="118"/>
      <x:c r="F446" s="140"/>
      <x:c r="G446" s="137" t="str">
        <x:f>IF(OR(E446="",F446=""),"",(F446-E446)*1440)</x:f>
      </x:c>
      <x:c r="H446" s="138" t="str">
        <x:f>IF(G446="","",G446/60)</x:f>
      </x:c>
      <x:c r="I446" s="141"/>
    </x:row>
    <x:row r="447">
      <x:c r="A447" s="139"/>
      <x:c r="B447" s="117"/>
      <x:c r="C447" s="117"/>
      <x:c r="D447" s="117"/>
      <x:c r="E447" s="118"/>
      <x:c r="F447" s="140"/>
      <x:c r="G447" s="137" t="str">
        <x:f>IF(OR(E447="",F447=""),"",(F447-E447)*1440)</x:f>
      </x:c>
      <x:c r="H447" s="138" t="str">
        <x:f>IF(G447="","",G447/60)</x:f>
      </x:c>
      <x:c r="I447" s="141"/>
    </x:row>
    <x:row r="448">
      <x:c r="A448" s="139"/>
      <x:c r="B448" s="117"/>
      <x:c r="C448" s="117"/>
      <x:c r="D448" s="117"/>
      <x:c r="E448" s="118"/>
      <x:c r="F448" s="140"/>
      <x:c r="G448" s="137" t="str">
        <x:f>IF(OR(E448="",F448=""),"",(F448-E448)*1440)</x:f>
      </x:c>
      <x:c r="H448" s="138" t="str">
        <x:f>IF(G448="","",G448/60)</x:f>
      </x:c>
      <x:c r="I448" s="141"/>
    </x:row>
    <x:row r="449">
      <x:c r="A449" s="139"/>
      <x:c r="B449" s="117"/>
      <x:c r="C449" s="117"/>
      <x:c r="D449" s="117"/>
      <x:c r="E449" s="118"/>
      <x:c r="F449" s="140"/>
      <x:c r="G449" s="137" t="str">
        <x:f>IF(OR(E449="",F449=""),"",(F449-E449)*1440)</x:f>
      </x:c>
      <x:c r="H449" s="138" t="str">
        <x:f>IF(G449="","",G449/60)</x:f>
      </x:c>
      <x:c r="I449" s="141"/>
    </x:row>
    <x:row r="450">
      <x:c r="A450" s="139"/>
      <x:c r="B450" s="117"/>
      <x:c r="C450" s="117"/>
      <x:c r="D450" s="117"/>
      <x:c r="E450" s="118"/>
      <x:c r="F450" s="140"/>
      <x:c r="G450" s="137" t="str">
        <x:f>IF(OR(E450="",F450=""),"",(F450-E450)*1440)</x:f>
      </x:c>
      <x:c r="H450" s="138" t="str">
        <x:f>IF(G450="","",G450/60)</x:f>
      </x:c>
      <x:c r="I450" s="141"/>
    </x:row>
    <x:row r="451">
      <x:c r="A451" s="139"/>
      <x:c r="B451" s="117"/>
      <x:c r="C451" s="117"/>
      <x:c r="D451" s="117"/>
      <x:c r="E451" s="118"/>
      <x:c r="F451" s="140"/>
      <x:c r="G451" s="137" t="str">
        <x:f>IF(OR(E451="",F451=""),"",(F451-E451)*1440)</x:f>
      </x:c>
      <x:c r="H451" s="138" t="str">
        <x:f>IF(G451="","",G451/60)</x:f>
      </x:c>
      <x:c r="I451" s="141"/>
    </x:row>
    <x:row r="452">
      <x:c r="A452" s="139"/>
      <x:c r="B452" s="117"/>
      <x:c r="C452" s="117"/>
      <x:c r="D452" s="117"/>
      <x:c r="E452" s="118"/>
      <x:c r="F452" s="140"/>
      <x:c r="G452" s="137" t="str">
        <x:f>IF(OR(E452="",F452=""),"",(F452-E452)*1440)</x:f>
      </x:c>
      <x:c r="H452" s="138" t="str">
        <x:f>IF(G452="","",G452/60)</x:f>
      </x:c>
      <x:c r="I452" s="141"/>
    </x:row>
    <x:row r="453">
      <x:c r="A453" s="139"/>
      <x:c r="B453" s="117"/>
      <x:c r="C453" s="117"/>
      <x:c r="D453" s="117"/>
      <x:c r="E453" s="118"/>
      <x:c r="F453" s="140"/>
      <x:c r="G453" s="137" t="str">
        <x:f>IF(OR(E453="",F453=""),"",(F453-E453)*1440)</x:f>
      </x:c>
      <x:c r="H453" s="138" t="str">
        <x:f>IF(G453="","",G453/60)</x:f>
      </x:c>
      <x:c r="I453" s="141"/>
    </x:row>
    <x:row r="454">
      <x:c r="A454" s="139"/>
      <x:c r="B454" s="117"/>
      <x:c r="C454" s="117"/>
      <x:c r="D454" s="117"/>
      <x:c r="E454" s="118"/>
      <x:c r="F454" s="140"/>
      <x:c r="G454" s="137" t="str">
        <x:f>IF(OR(E454="",F454=""),"",(F454-E454)*1440)</x:f>
      </x:c>
      <x:c r="H454" s="138" t="str">
        <x:f>IF(G454="","",G454/60)</x:f>
      </x:c>
      <x:c r="I454" s="141"/>
    </x:row>
    <x:row r="455">
      <x:c r="A455" s="139"/>
      <x:c r="B455" s="117"/>
      <x:c r="C455" s="117"/>
      <x:c r="D455" s="117"/>
      <x:c r="E455" s="118"/>
      <x:c r="F455" s="140"/>
      <x:c r="G455" s="137" t="str">
        <x:f>IF(OR(E455="",F455=""),"",(F455-E455)*1440)</x:f>
      </x:c>
      <x:c r="H455" s="138" t="str">
        <x:f>IF(G455="","",G455/60)</x:f>
      </x:c>
      <x:c r="I455" s="141"/>
    </x:row>
    <x:row r="456">
      <x:c r="A456" s="139"/>
      <x:c r="B456" s="117"/>
      <x:c r="C456" s="117"/>
      <x:c r="D456" s="117"/>
      <x:c r="E456" s="118"/>
      <x:c r="F456" s="140"/>
      <x:c r="G456" s="137" t="str">
        <x:f>IF(OR(E456="",F456=""),"",(F456-E456)*1440)</x:f>
      </x:c>
      <x:c r="H456" s="138" t="str">
        <x:f>IF(G456="","",G456/60)</x:f>
      </x:c>
      <x:c r="I456" s="141"/>
    </x:row>
    <x:row r="457">
      <x:c r="A457" s="139"/>
      <x:c r="B457" s="117"/>
      <x:c r="C457" s="117"/>
      <x:c r="D457" s="117"/>
      <x:c r="E457" s="118"/>
      <x:c r="F457" s="140"/>
      <x:c r="G457" s="137" t="str">
        <x:f>IF(OR(E457="",F457=""),"",(F457-E457)*1440)</x:f>
      </x:c>
      <x:c r="H457" s="138" t="str">
        <x:f>IF(G457="","",G457/60)</x:f>
      </x:c>
      <x:c r="I457" s="141"/>
    </x:row>
    <x:row r="458">
      <x:c r="A458" s="139"/>
      <x:c r="B458" s="117"/>
      <x:c r="C458" s="117"/>
      <x:c r="D458" s="117"/>
      <x:c r="E458" s="118"/>
      <x:c r="F458" s="140"/>
      <x:c r="G458" s="137" t="str">
        <x:f>IF(OR(E458="",F458=""),"",(F458-E458)*1440)</x:f>
      </x:c>
      <x:c r="H458" s="138" t="str">
        <x:f>IF(G458="","",G458/60)</x:f>
      </x:c>
      <x:c r="I458" s="141"/>
    </x:row>
    <x:row r="459">
      <x:c r="A459" s="139"/>
      <x:c r="B459" s="117"/>
      <x:c r="C459" s="117"/>
      <x:c r="D459" s="117"/>
      <x:c r="E459" s="118"/>
      <x:c r="F459" s="140"/>
      <x:c r="G459" s="137" t="str">
        <x:f>IF(OR(E459="",F459=""),"",(F459-E459)*1440)</x:f>
      </x:c>
      <x:c r="H459" s="138" t="str">
        <x:f>IF(G459="","",G459/60)</x:f>
      </x:c>
      <x:c r="I459" s="141"/>
    </x:row>
    <x:row r="460">
      <x:c r="A460" s="139"/>
      <x:c r="B460" s="117"/>
      <x:c r="C460" s="117"/>
      <x:c r="D460" s="117"/>
      <x:c r="E460" s="118"/>
      <x:c r="F460" s="140"/>
      <x:c r="G460" s="137" t="str">
        <x:f>IF(OR(E460="",F460=""),"",(F460-E460)*1440)</x:f>
      </x:c>
      <x:c r="H460" s="138" t="str">
        <x:f>IF(G460="","",G460/60)</x:f>
      </x:c>
      <x:c r="I460" s="141"/>
    </x:row>
    <x:row r="461">
      <x:c r="A461" s="139"/>
      <x:c r="B461" s="117"/>
      <x:c r="C461" s="117"/>
      <x:c r="D461" s="117"/>
      <x:c r="E461" s="118"/>
      <x:c r="F461" s="140"/>
      <x:c r="G461" s="137" t="str">
        <x:f>IF(OR(E461="",F461=""),"",(F461-E461)*1440)</x:f>
      </x:c>
      <x:c r="H461" s="138" t="str">
        <x:f>IF(G461="","",G461/60)</x:f>
      </x:c>
      <x:c r="I461" s="141"/>
    </x:row>
    <x:row r="462">
      <x:c r="A462" s="139"/>
      <x:c r="B462" s="117"/>
      <x:c r="C462" s="117"/>
      <x:c r="D462" s="117"/>
      <x:c r="E462" s="118"/>
      <x:c r="F462" s="140"/>
      <x:c r="G462" s="137" t="str">
        <x:f>IF(OR(E462="",F462=""),"",(F462-E462)*1440)</x:f>
      </x:c>
      <x:c r="H462" s="138" t="str">
        <x:f>IF(G462="","",G462/60)</x:f>
      </x:c>
      <x:c r="I462" s="141"/>
    </x:row>
    <x:row r="463">
      <x:c r="A463" s="139"/>
      <x:c r="B463" s="117"/>
      <x:c r="C463" s="117"/>
      <x:c r="D463" s="117"/>
      <x:c r="E463" s="118"/>
      <x:c r="F463" s="140"/>
      <x:c r="G463" s="137" t="str">
        <x:f>IF(OR(E463="",F463=""),"",(F463-E463)*1440)</x:f>
      </x:c>
      <x:c r="H463" s="138" t="str">
        <x:f>IF(G463="","",G463/60)</x:f>
      </x:c>
      <x:c r="I463" s="141"/>
    </x:row>
    <x:row r="464">
      <x:c r="A464" s="139"/>
      <x:c r="B464" s="117"/>
      <x:c r="C464" s="117"/>
      <x:c r="D464" s="117"/>
      <x:c r="E464" s="118"/>
      <x:c r="F464" s="140"/>
      <x:c r="G464" s="137" t="str">
        <x:f>IF(OR(E464="",F464=""),"",(F464-E464)*1440)</x:f>
      </x:c>
      <x:c r="H464" s="138" t="str">
        <x:f>IF(G464="","",G464/60)</x:f>
      </x:c>
      <x:c r="I464" s="141"/>
    </x:row>
    <x:row r="465">
      <x:c r="A465" s="139"/>
      <x:c r="B465" s="117"/>
      <x:c r="C465" s="117"/>
      <x:c r="D465" s="117"/>
      <x:c r="E465" s="118"/>
      <x:c r="F465" s="140"/>
      <x:c r="G465" s="137" t="str">
        <x:f>IF(OR(E465="",F465=""),"",(F465-E465)*1440)</x:f>
      </x:c>
      <x:c r="H465" s="138" t="str">
        <x:f>IF(G465="","",G465/60)</x:f>
      </x:c>
      <x:c r="I465" s="141"/>
    </x:row>
    <x:row r="466">
      <x:c r="A466" s="139"/>
      <x:c r="B466" s="117"/>
      <x:c r="C466" s="117"/>
      <x:c r="D466" s="117"/>
      <x:c r="E466" s="118"/>
      <x:c r="F466" s="140"/>
      <x:c r="G466" s="137" t="str">
        <x:f>IF(OR(E466="",F466=""),"",(F466-E466)*1440)</x:f>
      </x:c>
      <x:c r="H466" s="138" t="str">
        <x:f>IF(G466="","",G466/60)</x:f>
      </x:c>
      <x:c r="I466" s="141"/>
    </x:row>
    <x:row r="467">
      <x:c r="A467" s="139"/>
      <x:c r="B467" s="117"/>
      <x:c r="C467" s="117"/>
      <x:c r="D467" s="117"/>
      <x:c r="E467" s="118"/>
      <x:c r="F467" s="140"/>
      <x:c r="G467" s="137" t="str">
        <x:f>IF(OR(E467="",F467=""),"",(F467-E467)*1440)</x:f>
      </x:c>
      <x:c r="H467" s="138" t="str">
        <x:f>IF(G467="","",G467/60)</x:f>
      </x:c>
      <x:c r="I467" s="141"/>
    </x:row>
    <x:row r="468">
      <x:c r="A468" s="139"/>
      <x:c r="B468" s="117"/>
      <x:c r="C468" s="117"/>
      <x:c r="D468" s="117"/>
      <x:c r="E468" s="118"/>
      <x:c r="F468" s="140"/>
      <x:c r="G468" s="137" t="str">
        <x:f>IF(OR(E468="",F468=""),"",(F468-E468)*1440)</x:f>
      </x:c>
      <x:c r="H468" s="138" t="str">
        <x:f>IF(G468="","",G468/60)</x:f>
      </x:c>
      <x:c r="I468" s="141"/>
    </x:row>
    <x:row r="469">
      <x:c r="A469" s="139"/>
      <x:c r="B469" s="117"/>
      <x:c r="C469" s="117"/>
      <x:c r="D469" s="117"/>
      <x:c r="E469" s="118"/>
      <x:c r="F469" s="140"/>
      <x:c r="G469" s="137" t="str">
        <x:f>IF(OR(E469="",F469=""),"",(F469-E469)*1440)</x:f>
      </x:c>
      <x:c r="H469" s="138" t="str">
        <x:f>IF(G469="","",G469/60)</x:f>
      </x:c>
      <x:c r="I469" s="141"/>
    </x:row>
    <x:row r="470">
      <x:c r="A470" s="139"/>
      <x:c r="B470" s="117"/>
      <x:c r="C470" s="117"/>
      <x:c r="D470" s="117"/>
      <x:c r="E470" s="118"/>
      <x:c r="F470" s="140"/>
      <x:c r="G470" s="137" t="str">
        <x:f>IF(OR(E470="",F470=""),"",(F470-E470)*1440)</x:f>
      </x:c>
      <x:c r="H470" s="138" t="str">
        <x:f>IF(G470="","",G470/60)</x:f>
      </x:c>
      <x:c r="I470" s="141"/>
    </x:row>
    <x:row r="471">
      <x:c r="A471" s="139"/>
      <x:c r="B471" s="117"/>
      <x:c r="C471" s="117"/>
      <x:c r="D471" s="117"/>
      <x:c r="E471" s="118"/>
      <x:c r="F471" s="140"/>
      <x:c r="G471" s="137" t="str">
        <x:f>IF(OR(E471="",F471=""),"",(F471-E471)*1440)</x:f>
      </x:c>
      <x:c r="H471" s="138" t="str">
        <x:f>IF(G471="","",G471/60)</x:f>
      </x:c>
      <x:c r="I471" s="141"/>
    </x:row>
    <x:row r="472">
      <x:c r="A472" s="139"/>
      <x:c r="B472" s="117"/>
      <x:c r="C472" s="117"/>
      <x:c r="D472" s="117"/>
      <x:c r="E472" s="118"/>
      <x:c r="F472" s="140"/>
      <x:c r="G472" s="137" t="str">
        <x:f>IF(OR(E472="",F472=""),"",(F472-E472)*1440)</x:f>
      </x:c>
      <x:c r="H472" s="138" t="str">
        <x:f>IF(G472="","",G472/60)</x:f>
      </x:c>
      <x:c r="I472" s="141"/>
    </x:row>
    <x:row r="473">
      <x:c r="A473" s="139"/>
      <x:c r="B473" s="117"/>
      <x:c r="C473" s="117"/>
      <x:c r="D473" s="117"/>
      <x:c r="E473" s="118"/>
      <x:c r="F473" s="140"/>
      <x:c r="G473" s="137" t="str">
        <x:f>IF(OR(E473="",F473=""),"",(F473-E473)*1440)</x:f>
      </x:c>
      <x:c r="H473" s="138" t="str">
        <x:f>IF(G473="","",G473/60)</x:f>
      </x:c>
      <x:c r="I473" s="141"/>
    </x:row>
    <x:row r="474">
      <x:c r="A474" s="139"/>
      <x:c r="B474" s="117"/>
      <x:c r="C474" s="117"/>
      <x:c r="D474" s="117"/>
      <x:c r="E474" s="118"/>
      <x:c r="F474" s="140"/>
      <x:c r="G474" s="137" t="str">
        <x:f>IF(OR(E474="",F474=""),"",(F474-E474)*1440)</x:f>
      </x:c>
      <x:c r="H474" s="138" t="str">
        <x:f>IF(G474="","",G474/60)</x:f>
      </x:c>
      <x:c r="I474" s="141"/>
    </x:row>
    <x:row r="475">
      <x:c r="A475" s="139"/>
      <x:c r="B475" s="117"/>
      <x:c r="C475" s="117"/>
      <x:c r="D475" s="117"/>
      <x:c r="E475" s="118"/>
      <x:c r="F475" s="140"/>
      <x:c r="G475" s="137" t="str">
        <x:f>IF(OR(E475="",F475=""),"",(F475-E475)*1440)</x:f>
      </x:c>
      <x:c r="H475" s="138" t="str">
        <x:f>IF(G475="","",G475/60)</x:f>
      </x:c>
      <x:c r="I475" s="141"/>
    </x:row>
    <x:row r="476">
      <x:c r="A476" s="139"/>
      <x:c r="B476" s="117"/>
      <x:c r="C476" s="117"/>
      <x:c r="D476" s="117"/>
      <x:c r="E476" s="118"/>
      <x:c r="F476" s="140"/>
      <x:c r="G476" s="137" t="str">
        <x:f>IF(OR(E476="",F476=""),"",(F476-E476)*1440)</x:f>
      </x:c>
      <x:c r="H476" s="138" t="str">
        <x:f>IF(G476="","",G476/60)</x:f>
      </x:c>
      <x:c r="I476" s="141"/>
    </x:row>
    <x:row r="477">
      <x:c r="A477" s="139"/>
      <x:c r="B477" s="117"/>
      <x:c r="C477" s="117"/>
      <x:c r="D477" s="117"/>
      <x:c r="E477" s="118"/>
      <x:c r="F477" s="140"/>
      <x:c r="G477" s="137" t="str">
        <x:f>IF(OR(E477="",F477=""),"",(F477-E477)*1440)</x:f>
      </x:c>
      <x:c r="H477" s="138" t="str">
        <x:f>IF(G477="","",G477/60)</x:f>
      </x:c>
      <x:c r="I477" s="141"/>
    </x:row>
    <x:row r="478">
      <x:c r="A478" s="139"/>
      <x:c r="B478" s="117"/>
      <x:c r="C478" s="117"/>
      <x:c r="D478" s="117"/>
      <x:c r="E478" s="118"/>
      <x:c r="F478" s="140"/>
      <x:c r="G478" s="137" t="str">
        <x:f>IF(OR(E478="",F478=""),"",(F478-E478)*1440)</x:f>
      </x:c>
      <x:c r="H478" s="138" t="str">
        <x:f>IF(G478="","",G478/60)</x:f>
      </x:c>
      <x:c r="I478" s="141"/>
    </x:row>
    <x:row r="479">
      <x:c r="A479" s="139"/>
      <x:c r="B479" s="117"/>
      <x:c r="C479" s="117"/>
      <x:c r="D479" s="117"/>
      <x:c r="E479" s="118"/>
      <x:c r="F479" s="140"/>
      <x:c r="G479" s="137" t="str">
        <x:f>IF(OR(E479="",F479=""),"",(F479-E479)*1440)</x:f>
      </x:c>
      <x:c r="H479" s="138" t="str">
        <x:f>IF(G479="","",G479/60)</x:f>
      </x:c>
      <x:c r="I479" s="141"/>
    </x:row>
    <x:row r="480">
      <x:c r="A480" s="139"/>
      <x:c r="B480" s="117"/>
      <x:c r="C480" s="117"/>
      <x:c r="D480" s="117"/>
      <x:c r="E480" s="118"/>
      <x:c r="F480" s="140"/>
      <x:c r="G480" s="137" t="str">
        <x:f>IF(OR(E480="",F480=""),"",(F480-E480)*1440)</x:f>
      </x:c>
      <x:c r="H480" s="138" t="str">
        <x:f>IF(G480="","",G480/60)</x:f>
      </x:c>
      <x:c r="I480" s="141"/>
    </x:row>
    <x:row r="481">
      <x:c r="A481" s="139"/>
      <x:c r="B481" s="117"/>
      <x:c r="C481" s="117"/>
      <x:c r="D481" s="117"/>
      <x:c r="E481" s="118"/>
      <x:c r="F481" s="140"/>
      <x:c r="G481" s="137" t="str">
        <x:f>IF(OR(E481="",F481=""),"",(F481-E481)*1440)</x:f>
      </x:c>
      <x:c r="H481" s="138" t="str">
        <x:f>IF(G481="","",G481/60)</x:f>
      </x:c>
      <x:c r="I481" s="141"/>
    </x:row>
    <x:row r="482">
      <x:c r="A482" s="139"/>
      <x:c r="B482" s="117"/>
      <x:c r="C482" s="117"/>
      <x:c r="D482" s="117"/>
      <x:c r="E482" s="118"/>
      <x:c r="F482" s="140"/>
      <x:c r="G482" s="137" t="str">
        <x:f>IF(OR(E482="",F482=""),"",(F482-E482)*1440)</x:f>
      </x:c>
      <x:c r="H482" s="138" t="str">
        <x:f>IF(G482="","",G482/60)</x:f>
      </x:c>
      <x:c r="I482" s="141"/>
    </x:row>
    <x:row r="483">
      <x:c r="A483" s="139"/>
      <x:c r="B483" s="117"/>
      <x:c r="C483" s="117"/>
      <x:c r="D483" s="117"/>
      <x:c r="E483" s="118"/>
      <x:c r="F483" s="140"/>
      <x:c r="G483" s="137" t="str">
        <x:f>IF(OR(E483="",F483=""),"",(F483-E483)*1440)</x:f>
      </x:c>
      <x:c r="H483" s="138" t="str">
        <x:f>IF(G483="","",G483/60)</x:f>
      </x:c>
      <x:c r="I483" s="141"/>
    </x:row>
    <x:row r="484">
      <x:c r="A484" s="139"/>
      <x:c r="B484" s="117"/>
      <x:c r="C484" s="117"/>
      <x:c r="D484" s="117"/>
      <x:c r="E484" s="118"/>
      <x:c r="F484" s="140"/>
      <x:c r="G484" s="137" t="str">
        <x:f>IF(OR(E484="",F484=""),"",(F484-E484)*1440)</x:f>
      </x:c>
      <x:c r="H484" s="138" t="str">
        <x:f>IF(G484="","",G484/60)</x:f>
      </x:c>
      <x:c r="I484" s="141"/>
    </x:row>
    <x:row r="485">
      <x:c r="A485" s="139"/>
      <x:c r="B485" s="117"/>
      <x:c r="C485" s="117"/>
      <x:c r="D485" s="117"/>
      <x:c r="E485" s="118"/>
      <x:c r="F485" s="140"/>
      <x:c r="G485" s="137" t="str">
        <x:f>IF(OR(E485="",F485=""),"",(F485-E485)*1440)</x:f>
      </x:c>
      <x:c r="H485" s="138" t="str">
        <x:f>IF(G485="","",G485/60)</x:f>
      </x:c>
      <x:c r="I485" s="141"/>
    </x:row>
    <x:row r="486">
      <x:c r="A486" s="139"/>
      <x:c r="B486" s="117"/>
      <x:c r="C486" s="117"/>
      <x:c r="D486" s="117"/>
      <x:c r="E486" s="118"/>
      <x:c r="F486" s="140"/>
      <x:c r="G486" s="137" t="str">
        <x:f>IF(OR(E486="",F486=""),"",(F486-E486)*1440)</x:f>
      </x:c>
      <x:c r="H486" s="138" t="str">
        <x:f>IF(G486="","",G486/60)</x:f>
      </x:c>
      <x:c r="I486" s="141"/>
    </x:row>
    <x:row r="487">
      <x:c r="A487" s="139"/>
      <x:c r="B487" s="117"/>
      <x:c r="C487" s="117"/>
      <x:c r="D487" s="117"/>
      <x:c r="E487" s="118"/>
      <x:c r="F487" s="140"/>
      <x:c r="G487" s="137" t="str">
        <x:f>IF(OR(E487="",F487=""),"",(F487-E487)*1440)</x:f>
      </x:c>
      <x:c r="H487" s="138" t="str">
        <x:f>IF(G487="","",G487/60)</x:f>
      </x:c>
      <x:c r="I487" s="141"/>
    </x:row>
    <x:row r="488">
      <x:c r="A488" s="139"/>
      <x:c r="B488" s="117"/>
      <x:c r="C488" s="117"/>
      <x:c r="D488" s="117"/>
      <x:c r="E488" s="118"/>
      <x:c r="F488" s="140"/>
      <x:c r="G488" s="137" t="str">
        <x:f>IF(OR(E488="",F488=""),"",(F488-E488)*1440)</x:f>
      </x:c>
      <x:c r="H488" s="138" t="str">
        <x:f>IF(G488="","",G488/60)</x:f>
      </x:c>
      <x:c r="I488" s="141"/>
    </x:row>
    <x:row r="489">
      <x:c r="A489" s="139"/>
      <x:c r="B489" s="117"/>
      <x:c r="C489" s="117"/>
      <x:c r="D489" s="117"/>
      <x:c r="E489" s="118"/>
      <x:c r="F489" s="140"/>
      <x:c r="G489" s="137" t="str">
        <x:f>IF(OR(E489="",F489=""),"",(F489-E489)*1440)</x:f>
      </x:c>
      <x:c r="H489" s="138" t="str">
        <x:f>IF(G489="","",G489/60)</x:f>
      </x:c>
      <x:c r="I489" s="141"/>
    </x:row>
    <x:row r="490">
      <x:c r="A490" s="139"/>
      <x:c r="B490" s="117"/>
      <x:c r="C490" s="117"/>
      <x:c r="D490" s="117"/>
      <x:c r="E490" s="118"/>
      <x:c r="F490" s="140"/>
      <x:c r="G490" s="137" t="str">
        <x:f>IF(OR(E490="",F490=""),"",(F490-E490)*1440)</x:f>
      </x:c>
      <x:c r="H490" s="138" t="str">
        <x:f>IF(G490="","",G490/60)</x:f>
      </x:c>
      <x:c r="I490" s="141"/>
    </x:row>
    <x:row r="491">
      <x:c r="A491" s="139"/>
      <x:c r="B491" s="117"/>
      <x:c r="C491" s="117"/>
      <x:c r="D491" s="117"/>
      <x:c r="E491" s="118"/>
      <x:c r="F491" s="140"/>
      <x:c r="G491" s="137" t="str">
        <x:f>IF(OR(E491="",F491=""),"",(F491-E491)*1440)</x:f>
      </x:c>
      <x:c r="H491" s="138" t="str">
        <x:f>IF(G491="","",G491/60)</x:f>
      </x:c>
      <x:c r="I491" s="141"/>
    </x:row>
    <x:row r="492">
      <x:c r="A492" s="139"/>
      <x:c r="B492" s="117"/>
      <x:c r="C492" s="117"/>
      <x:c r="D492" s="117"/>
      <x:c r="E492" s="118"/>
      <x:c r="F492" s="140"/>
      <x:c r="G492" s="137" t="str">
        <x:f>IF(OR(E492="",F492=""),"",(F492-E492)*1440)</x:f>
      </x:c>
      <x:c r="H492" s="138" t="str">
        <x:f>IF(G492="","",G492/60)</x:f>
      </x:c>
      <x:c r="I492" s="141"/>
    </x:row>
    <x:row r="493">
      <x:c r="A493" s="139"/>
      <x:c r="B493" s="117"/>
      <x:c r="C493" s="117"/>
      <x:c r="D493" s="117"/>
      <x:c r="E493" s="118"/>
      <x:c r="F493" s="140"/>
      <x:c r="G493" s="137" t="str">
        <x:f>IF(OR(E493="",F493=""),"",(F493-E493)*1440)</x:f>
      </x:c>
      <x:c r="H493" s="138" t="str">
        <x:f>IF(G493="","",G493/60)</x:f>
      </x:c>
      <x:c r="I493" s="141"/>
    </x:row>
    <x:row r="494">
      <x:c r="A494" s="139"/>
      <x:c r="B494" s="117"/>
      <x:c r="C494" s="117"/>
      <x:c r="D494" s="117"/>
      <x:c r="E494" s="118"/>
      <x:c r="F494" s="140"/>
      <x:c r="G494" s="137" t="str">
        <x:f>IF(OR(E494="",F494=""),"",(F494-E494)*1440)</x:f>
      </x:c>
      <x:c r="H494" s="138" t="str">
        <x:f>IF(G494="","",G494/60)</x:f>
      </x:c>
      <x:c r="I494" s="141"/>
    </x:row>
    <x:row r="495">
      <x:c r="A495" s="139"/>
      <x:c r="B495" s="117"/>
      <x:c r="C495" s="117"/>
      <x:c r="D495" s="117"/>
      <x:c r="E495" s="118"/>
      <x:c r="F495" s="140"/>
      <x:c r="G495" s="137" t="str">
        <x:f>IF(OR(E495="",F495=""),"",(F495-E495)*1440)</x:f>
      </x:c>
      <x:c r="H495" s="138" t="str">
        <x:f>IF(G495="","",G495/60)</x:f>
      </x:c>
      <x:c r="I495" s="141"/>
    </x:row>
    <x:row r="496">
      <x:c r="A496" s="139"/>
      <x:c r="B496" s="117"/>
      <x:c r="C496" s="117"/>
      <x:c r="D496" s="117"/>
      <x:c r="E496" s="118"/>
      <x:c r="F496" s="140"/>
      <x:c r="G496" s="137" t="str">
        <x:f>IF(OR(E496="",F496=""),"",(F496-E496)*1440)</x:f>
      </x:c>
      <x:c r="H496" s="138" t="str">
        <x:f>IF(G496="","",G496/60)</x:f>
      </x:c>
      <x:c r="I496" s="141"/>
    </x:row>
    <x:row r="497">
      <x:c r="A497" s="139"/>
      <x:c r="B497" s="117"/>
      <x:c r="C497" s="117"/>
      <x:c r="D497" s="117"/>
      <x:c r="E497" s="118"/>
      <x:c r="F497" s="140"/>
      <x:c r="G497" s="137" t="str">
        <x:f>IF(OR(E497="",F497=""),"",(F497-E497)*1440)</x:f>
      </x:c>
      <x:c r="H497" s="138" t="str">
        <x:f>IF(G497="","",G497/60)</x:f>
      </x:c>
      <x:c r="I497" s="141"/>
    </x:row>
    <x:row r="498">
      <x:c r="A498" s="139"/>
      <x:c r="B498" s="117"/>
      <x:c r="C498" s="117"/>
      <x:c r="D498" s="117"/>
      <x:c r="E498" s="118"/>
      <x:c r="F498" s="140"/>
      <x:c r="G498" s="137" t="str">
        <x:f>IF(OR(E498="",F498=""),"",(F498-E498)*1440)</x:f>
      </x:c>
      <x:c r="H498" s="138" t="str">
        <x:f>IF(G498="","",G498/60)</x:f>
      </x:c>
      <x:c r="I498" s="141"/>
    </x:row>
    <x:row r="499">
      <x:c r="A499" s="139"/>
      <x:c r="B499" s="117"/>
      <x:c r="C499" s="117"/>
      <x:c r="D499" s="117"/>
      <x:c r="E499" s="118"/>
      <x:c r="F499" s="140"/>
      <x:c r="G499" s="137" t="str">
        <x:f>IF(OR(E499="",F499=""),"",(F499-E499)*1440)</x:f>
      </x:c>
      <x:c r="H499" s="138" t="str">
        <x:f>IF(G499="","",G499/60)</x:f>
      </x:c>
      <x:c r="I499" s="141"/>
    </x:row>
    <x:row r="500">
      <x:c r="A500" s="139"/>
      <x:c r="B500" s="117"/>
      <x:c r="C500" s="117"/>
      <x:c r="D500" s="117"/>
      <x:c r="E500" s="118"/>
      <x:c r="F500" s="140"/>
      <x:c r="G500" s="137" t="str">
        <x:f>IF(OR(E500="",F500=""),"",(F500-E500)*1440)</x:f>
      </x:c>
      <x:c r="H500" s="138" t="str">
        <x:f>IF(G500="","",G500/60)</x:f>
      </x:c>
      <x:c r="I500" s="141"/>
    </x:row>
    <x:row r="501">
      <x:c r="A501" s="139"/>
      <x:c r="B501" s="117"/>
      <x:c r="C501" s="117"/>
      <x:c r="D501" s="117"/>
      <x:c r="E501" s="118"/>
      <x:c r="F501" s="140"/>
      <x:c r="G501" s="137" t="str">
        <x:f>IF(OR(E501="",F501=""),"",(F501-E501)*1440)</x:f>
      </x:c>
      <x:c r="H501" s="138" t="str">
        <x:f>IF(G501="","",G501/60)</x:f>
      </x:c>
      <x:c r="I501" s="141"/>
    </x:row>
    <x:row r="502">
      <x:c r="A502" s="139"/>
      <x:c r="B502" s="117"/>
      <x:c r="C502" s="117"/>
      <x:c r="D502" s="117"/>
      <x:c r="E502" s="118"/>
      <x:c r="F502" s="140"/>
      <x:c r="G502" s="137" t="str">
        <x:f>IF(OR(E502="",F502=""),"",(F502-E502)*1440)</x:f>
      </x:c>
      <x:c r="H502" s="138" t="str">
        <x:f>IF(G502="","",G502/60)</x:f>
      </x:c>
      <x:c r="I502" s="141"/>
    </x:row>
    <x:row r="503">
      <x:c r="A503" s="142"/>
      <x:c r="B503" s="127"/>
      <x:c r="C503" s="127"/>
      <x:c r="D503" s="127"/>
      <x:c r="E503" s="128"/>
      <x:c r="F503" s="143"/>
      <x:c r="G503" s="137" t="str">
        <x:f>IF(OR(E503="",F503=""),"",(F503-E503)*1440)</x:f>
      </x:c>
      <x:c r="H503" s="138" t="str">
        <x:f>IF(G503="","",G503/60)</x:f>
      </x:c>
      <x:c r="I503" s="144"/>
    </x:row>
  </x:sheetData>
  <x:mergeCells>
    <x:mergeCell ref="A1:I1"/>
    <x:mergeCell ref="A2:I2"/>
  </x:mergeCells>
  <x:dataValidations count="2">
    <x:dataValidation type="list" sqref="B4:B503">
      <x:formula1>'Setup &amp; Lists'!$A$16:$A$20</x:formula1>
    </x:dataValidation>
    <x:dataValidation type="list" sqref="D4:D503">
      <x:formula1>'Setup &amp; Lists'!$J$16:$J$24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ee842f3dfa4e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20" hidden="0" customWidth="1"/>
    <x:col min="7" max="7" width="20" hidden="0" customWidth="1"/>
    <x:col min="8" max="8" width="24" hidden="0" customWidth="1"/>
    <x:col min="9" max="9" width="15" hidden="0" customWidth="1"/>
    <x:col min="10" max="10" width="20" hidden="0" customWidth="1"/>
    <x:col min="11" max="11" width="20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42" hidden="0" customWidth="1"/>
  </x:cols>
  <x:sheetData>
    <x:row r="1" ht="34" customHeight="1">
      <x:c r="A1" s="93" t="str">
        <x:v>AI USAGE LOG</x:v>
      </x:c>
      <x:c r="B1" s="93" t="str">
        <x:v>AI USAGE LOG</x:v>
      </x:c>
      <x:c r="C1" s="93" t="str">
        <x:v>AI USAGE LOG</x:v>
      </x:c>
      <x:c r="D1" s="93" t="str">
        <x:v>AI USAGE LOG</x:v>
      </x:c>
      <x:c r="E1" s="93" t="str">
        <x:v>AI USAGE LOG</x:v>
      </x:c>
      <x:c r="F1" s="93" t="str">
        <x:v>AI USAGE LOG</x:v>
      </x:c>
      <x:c r="G1" s="93" t="str">
        <x:v>AI USAGE LOG</x:v>
      </x:c>
      <x:c r="H1" s="93" t="str">
        <x:v>AI USAGE LOG</x:v>
      </x:c>
      <x:c r="I1" s="93" t="str">
        <x:v>AI USAGE LOG</x:v>
      </x:c>
      <x:c r="J1" s="93" t="str">
        <x:v>AI USAGE LOG</x:v>
      </x:c>
      <x:c r="K1" s="93" t="str">
        <x:v>AI USAGE LOG</x:v>
      </x:c>
      <x:c r="L1" s="93" t="str">
        <x:v>AI USAGE LOG</x:v>
      </x:c>
      <x:c r="M1" s="93" t="str">
        <x:v>AI USAGE LOG</x:v>
      </x:c>
      <x:c r="N1" s="93" t="str">
        <x:v>AI USAGE LOG</x:v>
      </x:c>
      <x:c r="O1" s="93" t="str">
        <x:v>AI USAGE LOG</x:v>
      </x:c>
      <x:c r="P1" s="93" t="str">
        <x:v>AI USAGE LOG</x:v>
      </x:c>
      <x:c r="Q1" s="93" t="str">
        <x:v>AI USAGE LOG</x:v>
      </x:c>
      <x:c r="R1" s="93" t="str">
        <x:v>AI USAGE LOG</x:v>
      </x:c>
      <x:c r="S1" s="93" t="str">
        <x:v>AI USAGE LOG</x:v>
      </x:c>
      <x:c r="T1" s="93" t="str">
        <x:v>AI USAGE LOG</x:v>
      </x:c>
      <x:c r="U1" s="93" t="str">
        <x:v>AI USAGE LOG</x:v>
      </x:c>
    </x:row>
    <x:row r="2" ht="30" customHeight="1">
      <x:c r="A2" s="95" t="str">
        <x:v>Một dòng cho mỗi agent/chat session liên quan đến pilot. Để trống token nếu product surface không hiển thị.</x:v>
      </x:c>
      <x:c r="B2" s="95" t="str">
        <x:v>Một dòng cho mỗi agent/chat session liên quan đến pilot. Để trống token nếu product surface không hiển thị.</x:v>
      </x:c>
      <x:c r="C2" s="95" t="str">
        <x:v>Một dòng cho mỗi agent/chat session liên quan đến pilot. Để trống token nếu product surface không hiển thị.</x:v>
      </x:c>
      <x:c r="D2" s="95" t="str">
        <x:v>Một dòng cho mỗi agent/chat session liên quan đến pilot. Để trống token nếu product surface không hiển thị.</x:v>
      </x:c>
      <x:c r="E2" s="95" t="str">
        <x:v>Một dòng cho mỗi agent/chat session liên quan đến pilot. Để trống token nếu product surface không hiển thị.</x:v>
      </x:c>
      <x:c r="F2" s="95" t="str">
        <x:v>Một dòng cho mỗi agent/chat session liên quan đến pilot. Để trống token nếu product surface không hiển thị.</x:v>
      </x:c>
      <x:c r="G2" s="95" t="str">
        <x:v>Một dòng cho mỗi agent/chat session liên quan đến pilot. Để trống token nếu product surface không hiển thị.</x:v>
      </x:c>
      <x:c r="H2" s="95" t="str">
        <x:v>Một dòng cho mỗi agent/chat session liên quan đến pilot. Để trống token nếu product surface không hiển thị.</x:v>
      </x:c>
      <x:c r="I2" s="95" t="str">
        <x:v>Một dòng cho mỗi agent/chat session liên quan đến pilot. Để trống token nếu product surface không hiển thị.</x:v>
      </x:c>
      <x:c r="J2" s="95" t="str">
        <x:v>Một dòng cho mỗi agent/chat session liên quan đến pilot. Để trống token nếu product surface không hiển thị.</x:v>
      </x:c>
      <x:c r="K2" s="95" t="str">
        <x:v>Một dòng cho mỗi agent/chat session liên quan đến pilot. Để trống token nếu product surface không hiển thị.</x:v>
      </x:c>
      <x:c r="L2" s="95" t="str">
        <x:v>Một dòng cho mỗi agent/chat session liên quan đến pilot. Để trống token nếu product surface không hiển thị.</x:v>
      </x:c>
      <x:c r="M2" s="95" t="str">
        <x:v>Một dòng cho mỗi agent/chat session liên quan đến pilot. Để trống token nếu product surface không hiển thị.</x:v>
      </x:c>
      <x:c r="N2" s="95" t="str">
        <x:v>Một dòng cho mỗi agent/chat session liên quan đến pilot. Để trống token nếu product surface không hiển thị.</x:v>
      </x:c>
      <x:c r="O2" s="95" t="str">
        <x:v>Một dòng cho mỗi agent/chat session liên quan đến pilot. Để trống token nếu product surface không hiển thị.</x:v>
      </x:c>
      <x:c r="P2" s="95" t="str">
        <x:v>Một dòng cho mỗi agent/chat session liên quan đến pilot. Để trống token nếu product surface không hiển thị.</x:v>
      </x:c>
      <x:c r="Q2" s="95" t="str">
        <x:v>Một dòng cho mỗi agent/chat session liên quan đến pilot. Để trống token nếu product surface không hiển thị.</x:v>
      </x:c>
      <x:c r="R2" s="95" t="str">
        <x:v>Một dòng cho mỗi agent/chat session liên quan đến pilot. Để trống token nếu product surface không hiển thị.</x:v>
      </x:c>
      <x:c r="S2" s="95" t="str">
        <x:v>Một dòng cho mỗi agent/chat session liên quan đến pilot. Để trống token nếu product surface không hiển thị.</x:v>
      </x:c>
      <x:c r="T2" s="95" t="str">
        <x:v>Một dòng cho mỗi agent/chat session liên quan đến pilot. Để trống token nếu product surface không hiển thị.</x:v>
      </x:c>
      <x:c r="U2" s="95" t="str">
        <x:v>Một dòng cho mỗi agent/chat session liên quan đến pilot. Để trống token nếu product surface không hiển thị.</x:v>
      </x:c>
    </x:row>
    <x:row r="3" ht="36" customHeight="1">
      <x:c r="A3" s="96" t="str">
        <x:v>Date</x:v>
      </x:c>
      <x:c r="B3" s="96" t="str">
        <x:v>Story ID</x:v>
      </x:c>
      <x:c r="C3" s="96" t="str">
        <x:v>Member</x:v>
      </x:c>
      <x:c r="D3" s="96" t="str">
        <x:v>Cohort</x:v>
      </x:c>
      <x:c r="E3" s="96" t="str">
        <x:v>Provider</x:v>
      </x:c>
      <x:c r="F3" s="96" t="str">
        <x:v>Surface</x:v>
      </x:c>
      <x:c r="G3" s="96" t="str">
        <x:v>Model</x:v>
      </x:c>
      <x:c r="H3" s="96" t="str">
        <x:v>Session ID</x:v>
      </x:c>
      <x:c r="I3" s="96" t="str">
        <x:v>Agent Count</x:v>
      </x:c>
      <x:c r="J3" s="96" t="str">
        <x:v>Start Time</x:v>
      </x:c>
      <x:c r="K3" s="96" t="str">
        <x:v>End Time</x:v>
      </x:c>
      <x:c r="L3" s="96" t="str">
        <x:v>Active Minutes</x:v>
      </x:c>
      <x:c r="M3" s="96" t="str">
        <x:v>Input Tokens</x:v>
      </x:c>
      <x:c r="N3" s="96" t="str">
        <x:v>Cached Input</x:v>
      </x:c>
      <x:c r="O3" s="96" t="str">
        <x:v>Output Tokens</x:v>
      </x:c>
      <x:c r="P3" s="96" t="str">
        <x:v>Credits Used</x:v>
      </x:c>
      <x:c r="Q3" s="96" t="str">
        <x:v>Usage Cost USD</x:v>
      </x:c>
      <x:c r="R3" s="96" t="str">
        <x:v>Usage Cost VND</x:v>
      </x:c>
      <x:c r="S3" s="96" t="str">
        <x:v>Limit Event</x:v>
      </x:c>
      <x:c r="T3" s="96" t="str">
        <x:v>Rerun</x:v>
      </x:c>
      <x:c r="U3" s="96" t="str">
        <x:v>Notes</x:v>
      </x:c>
    </x:row>
    <x:row r="4">
      <x:c r="A4" s="135"/>
      <x:c r="B4" s="106"/>
      <x:c r="C4" s="106"/>
      <x:c r="D4" s="106"/>
      <x:c r="E4" s="106"/>
      <x:c r="F4" s="106"/>
      <x:c r="G4" s="106"/>
      <x:c r="H4" s="106"/>
      <x:c r="I4" s="106"/>
      <x:c r="J4" s="107"/>
      <x:c r="K4" s="136"/>
      <x:c r="L4" s="137" t="str">
        <x:f>IF(OR(J4="",K4=""),"",(K4-J4)*1440)</x:f>
      </x:c>
      <x:c r="M4" s="145"/>
      <x:c r="N4" s="146"/>
      <x:c r="O4" s="146"/>
      <x:c r="P4" s="146"/>
      <x:c r="Q4" s="147"/>
      <x:c r="R4" s="148" t="str">
        <x:f>IF(OR(Q4="",'Setup &amp; Lists'!$B$8=""),"",Q4*'Setup &amp; Lists'!$B$8)</x:f>
      </x:c>
      <x:c r="S4" s="104"/>
      <x:c r="T4" s="106"/>
      <x:c r="U4" s="108"/>
    </x:row>
    <x:row r="5">
      <x:c r="A5" s="139"/>
      <x:c r="B5" s="117"/>
      <x:c r="C5" s="117"/>
      <x:c r="D5" s="117"/>
      <x:c r="E5" s="117"/>
      <x:c r="F5" s="117"/>
      <x:c r="G5" s="117"/>
      <x:c r="H5" s="117"/>
      <x:c r="I5" s="117"/>
      <x:c r="J5" s="118"/>
      <x:c r="K5" s="140"/>
      <x:c r="L5" s="137" t="str">
        <x:f>IF(OR(J5="",K5=""),"",(K5-J5)*1440)</x:f>
      </x:c>
      <x:c r="M5" s="149"/>
      <x:c r="N5" s="150"/>
      <x:c r="O5" s="150"/>
      <x:c r="P5" s="150"/>
      <x:c r="Q5" s="151"/>
      <x:c r="R5" s="148" t="str">
        <x:f>IF(OR(Q5="",'Setup &amp; Lists'!$B$8=""),"",Q5*'Setup &amp; Lists'!$B$8)</x:f>
      </x:c>
      <x:c r="S5" s="115"/>
      <x:c r="T5" s="117"/>
      <x:c r="U5" s="119"/>
    </x:row>
    <x:row r="6">
      <x:c r="A6" s="139"/>
      <x:c r="B6" s="117"/>
      <x:c r="C6" s="117"/>
      <x:c r="D6" s="117"/>
      <x:c r="E6" s="117"/>
      <x:c r="F6" s="117"/>
      <x:c r="G6" s="117"/>
      <x:c r="H6" s="117"/>
      <x:c r="I6" s="117"/>
      <x:c r="J6" s="118"/>
      <x:c r="K6" s="140"/>
      <x:c r="L6" s="137" t="str">
        <x:f>IF(OR(J6="",K6=""),"",(K6-J6)*1440)</x:f>
      </x:c>
      <x:c r="M6" s="149"/>
      <x:c r="N6" s="150"/>
      <x:c r="O6" s="150"/>
      <x:c r="P6" s="150"/>
      <x:c r="Q6" s="151"/>
      <x:c r="R6" s="148" t="str">
        <x:f>IF(OR(Q6="",'Setup &amp; Lists'!$B$8=""),"",Q6*'Setup &amp; Lists'!$B$8)</x:f>
      </x:c>
      <x:c r="S6" s="115"/>
      <x:c r="T6" s="117"/>
      <x:c r="U6" s="119"/>
    </x:row>
    <x:row r="7">
      <x:c r="A7" s="139"/>
      <x:c r="B7" s="117"/>
      <x:c r="C7" s="117"/>
      <x:c r="D7" s="117"/>
      <x:c r="E7" s="117"/>
      <x:c r="F7" s="117"/>
      <x:c r="G7" s="117"/>
      <x:c r="H7" s="117"/>
      <x:c r="I7" s="117"/>
      <x:c r="J7" s="118"/>
      <x:c r="K7" s="140"/>
      <x:c r="L7" s="137" t="str">
        <x:f>IF(OR(J7="",K7=""),"",(K7-J7)*1440)</x:f>
      </x:c>
      <x:c r="M7" s="149"/>
      <x:c r="N7" s="150"/>
      <x:c r="O7" s="150"/>
      <x:c r="P7" s="150"/>
      <x:c r="Q7" s="151"/>
      <x:c r="R7" s="148" t="str">
        <x:f>IF(OR(Q7="",'Setup &amp; Lists'!$B$8=""),"",Q7*'Setup &amp; Lists'!$B$8)</x:f>
      </x:c>
      <x:c r="S7" s="115"/>
      <x:c r="T7" s="117"/>
      <x:c r="U7" s="119"/>
    </x:row>
    <x:row r="8">
      <x:c r="A8" s="139"/>
      <x:c r="B8" s="117"/>
      <x:c r="C8" s="117"/>
      <x:c r="D8" s="117"/>
      <x:c r="E8" s="117"/>
      <x:c r="F8" s="117"/>
      <x:c r="G8" s="117"/>
      <x:c r="H8" s="117"/>
      <x:c r="I8" s="117"/>
      <x:c r="J8" s="118"/>
      <x:c r="K8" s="140"/>
      <x:c r="L8" s="137" t="str">
        <x:f>IF(OR(J8="",K8=""),"",(K8-J8)*1440)</x:f>
      </x:c>
      <x:c r="M8" s="149"/>
      <x:c r="N8" s="150"/>
      <x:c r="O8" s="150"/>
      <x:c r="P8" s="150"/>
      <x:c r="Q8" s="151"/>
      <x:c r="R8" s="148" t="str">
        <x:f>IF(OR(Q8="",'Setup &amp; Lists'!$B$8=""),"",Q8*'Setup &amp; Lists'!$B$8)</x:f>
      </x:c>
      <x:c r="S8" s="115"/>
      <x:c r="T8" s="117"/>
      <x:c r="U8" s="119"/>
    </x:row>
    <x:row r="9">
      <x:c r="A9" s="139"/>
      <x:c r="B9" s="117"/>
      <x:c r="C9" s="117"/>
      <x:c r="D9" s="117"/>
      <x:c r="E9" s="117"/>
      <x:c r="F9" s="117"/>
      <x:c r="G9" s="117"/>
      <x:c r="H9" s="117"/>
      <x:c r="I9" s="117"/>
      <x:c r="J9" s="118"/>
      <x:c r="K9" s="140"/>
      <x:c r="L9" s="137" t="str">
        <x:f>IF(OR(J9="",K9=""),"",(K9-J9)*1440)</x:f>
      </x:c>
      <x:c r="M9" s="149"/>
      <x:c r="N9" s="150"/>
      <x:c r="O9" s="150"/>
      <x:c r="P9" s="150"/>
      <x:c r="Q9" s="151"/>
      <x:c r="R9" s="148" t="str">
        <x:f>IF(OR(Q9="",'Setup &amp; Lists'!$B$8=""),"",Q9*'Setup &amp; Lists'!$B$8)</x:f>
      </x:c>
      <x:c r="S9" s="115"/>
      <x:c r="T9" s="117"/>
      <x:c r="U9" s="119"/>
    </x:row>
    <x:row r="10">
      <x:c r="A10" s="139"/>
      <x:c r="B10" s="117"/>
      <x:c r="C10" s="117"/>
      <x:c r="D10" s="117"/>
      <x:c r="E10" s="117"/>
      <x:c r="F10" s="117"/>
      <x:c r="G10" s="117"/>
      <x:c r="H10" s="117"/>
      <x:c r="I10" s="117"/>
      <x:c r="J10" s="118"/>
      <x:c r="K10" s="140"/>
      <x:c r="L10" s="137" t="str">
        <x:f>IF(OR(J10="",K10=""),"",(K10-J10)*1440)</x:f>
      </x:c>
      <x:c r="M10" s="149"/>
      <x:c r="N10" s="150"/>
      <x:c r="O10" s="150"/>
      <x:c r="P10" s="150"/>
      <x:c r="Q10" s="151"/>
      <x:c r="R10" s="148" t="str">
        <x:f>IF(OR(Q10="",'Setup &amp; Lists'!$B$8=""),"",Q10*'Setup &amp; Lists'!$B$8)</x:f>
      </x:c>
      <x:c r="S10" s="115"/>
      <x:c r="T10" s="117"/>
      <x:c r="U10" s="119"/>
    </x:row>
    <x:row r="11">
      <x:c r="A11" s="139"/>
      <x:c r="B11" s="117"/>
      <x:c r="C11" s="117"/>
      <x:c r="D11" s="117"/>
      <x:c r="E11" s="117"/>
      <x:c r="F11" s="117"/>
      <x:c r="G11" s="117"/>
      <x:c r="H11" s="117"/>
      <x:c r="I11" s="117"/>
      <x:c r="J11" s="118"/>
      <x:c r="K11" s="140"/>
      <x:c r="L11" s="137" t="str">
        <x:f>IF(OR(J11="",K11=""),"",(K11-J11)*1440)</x:f>
      </x:c>
      <x:c r="M11" s="149"/>
      <x:c r="N11" s="150"/>
      <x:c r="O11" s="150"/>
      <x:c r="P11" s="150"/>
      <x:c r="Q11" s="151"/>
      <x:c r="R11" s="148" t="str">
        <x:f>IF(OR(Q11="",'Setup &amp; Lists'!$B$8=""),"",Q11*'Setup &amp; Lists'!$B$8)</x:f>
      </x:c>
      <x:c r="S11" s="115"/>
      <x:c r="T11" s="117"/>
      <x:c r="U11" s="119"/>
    </x:row>
    <x:row r="12">
      <x:c r="A12" s="139"/>
      <x:c r="B12" s="117"/>
      <x:c r="C12" s="117"/>
      <x:c r="D12" s="117"/>
      <x:c r="E12" s="117"/>
      <x:c r="F12" s="117"/>
      <x:c r="G12" s="117"/>
      <x:c r="H12" s="117"/>
      <x:c r="I12" s="117"/>
      <x:c r="J12" s="118"/>
      <x:c r="K12" s="140"/>
      <x:c r="L12" s="137" t="str">
        <x:f>IF(OR(J12="",K12=""),"",(K12-J12)*1440)</x:f>
      </x:c>
      <x:c r="M12" s="149"/>
      <x:c r="N12" s="150"/>
      <x:c r="O12" s="150"/>
      <x:c r="P12" s="150"/>
      <x:c r="Q12" s="151"/>
      <x:c r="R12" s="148" t="str">
        <x:f>IF(OR(Q12="",'Setup &amp; Lists'!$B$8=""),"",Q12*'Setup &amp; Lists'!$B$8)</x:f>
      </x:c>
      <x:c r="S12" s="115"/>
      <x:c r="T12" s="117"/>
      <x:c r="U12" s="119"/>
    </x:row>
    <x:row r="13">
      <x:c r="A13" s="139"/>
      <x:c r="B13" s="117"/>
      <x:c r="C13" s="117"/>
      <x:c r="D13" s="117"/>
      <x:c r="E13" s="117"/>
      <x:c r="F13" s="117"/>
      <x:c r="G13" s="117"/>
      <x:c r="H13" s="117"/>
      <x:c r="I13" s="117"/>
      <x:c r="J13" s="118"/>
      <x:c r="K13" s="140"/>
      <x:c r="L13" s="137" t="str">
        <x:f>IF(OR(J13="",K13=""),"",(K13-J13)*1440)</x:f>
      </x:c>
      <x:c r="M13" s="149"/>
      <x:c r="N13" s="150"/>
      <x:c r="O13" s="150"/>
      <x:c r="P13" s="150"/>
      <x:c r="Q13" s="151"/>
      <x:c r="R13" s="148" t="str">
        <x:f>IF(OR(Q13="",'Setup &amp; Lists'!$B$8=""),"",Q13*'Setup &amp; Lists'!$B$8)</x:f>
      </x:c>
      <x:c r="S13" s="115"/>
      <x:c r="T13" s="117"/>
      <x:c r="U13" s="119"/>
    </x:row>
    <x:row r="14">
      <x:c r="A14" s="139"/>
      <x:c r="B14" s="117"/>
      <x:c r="C14" s="117"/>
      <x:c r="D14" s="117"/>
      <x:c r="E14" s="117"/>
      <x:c r="F14" s="117"/>
      <x:c r="G14" s="117"/>
      <x:c r="H14" s="117"/>
      <x:c r="I14" s="117"/>
      <x:c r="J14" s="118"/>
      <x:c r="K14" s="140"/>
      <x:c r="L14" s="137" t="str">
        <x:f>IF(OR(J14="",K14=""),"",(K14-J14)*1440)</x:f>
      </x:c>
      <x:c r="M14" s="149"/>
      <x:c r="N14" s="150"/>
      <x:c r="O14" s="150"/>
      <x:c r="P14" s="150"/>
      <x:c r="Q14" s="151"/>
      <x:c r="R14" s="148" t="str">
        <x:f>IF(OR(Q14="",'Setup &amp; Lists'!$B$8=""),"",Q14*'Setup &amp; Lists'!$B$8)</x:f>
      </x:c>
      <x:c r="S14" s="115"/>
      <x:c r="T14" s="117"/>
      <x:c r="U14" s="119"/>
    </x:row>
    <x:row r="15">
      <x:c r="A15" s="139"/>
      <x:c r="B15" s="117"/>
      <x:c r="C15" s="117"/>
      <x:c r="D15" s="117"/>
      <x:c r="E15" s="117"/>
      <x:c r="F15" s="117"/>
      <x:c r="G15" s="117"/>
      <x:c r="H15" s="117"/>
      <x:c r="I15" s="117"/>
      <x:c r="J15" s="118"/>
      <x:c r="K15" s="140"/>
      <x:c r="L15" s="137" t="str">
        <x:f>IF(OR(J15="",K15=""),"",(K15-J15)*1440)</x:f>
      </x:c>
      <x:c r="M15" s="149"/>
      <x:c r="N15" s="150"/>
      <x:c r="O15" s="150"/>
      <x:c r="P15" s="150"/>
      <x:c r="Q15" s="151"/>
      <x:c r="R15" s="148" t="str">
        <x:f>IF(OR(Q15="",'Setup &amp; Lists'!$B$8=""),"",Q15*'Setup &amp; Lists'!$B$8)</x:f>
      </x:c>
      <x:c r="S15" s="115"/>
      <x:c r="T15" s="117"/>
      <x:c r="U15" s="119"/>
    </x:row>
    <x:row r="16">
      <x:c r="A16" s="139"/>
      <x:c r="B16" s="117"/>
      <x:c r="C16" s="117"/>
      <x:c r="D16" s="117"/>
      <x:c r="E16" s="117"/>
      <x:c r="F16" s="117"/>
      <x:c r="G16" s="117"/>
      <x:c r="H16" s="117"/>
      <x:c r="I16" s="117"/>
      <x:c r="J16" s="118"/>
      <x:c r="K16" s="140"/>
      <x:c r="L16" s="137" t="str">
        <x:f>IF(OR(J16="",K16=""),"",(K16-J16)*1440)</x:f>
      </x:c>
      <x:c r="M16" s="149"/>
      <x:c r="N16" s="150"/>
      <x:c r="O16" s="150"/>
      <x:c r="P16" s="150"/>
      <x:c r="Q16" s="151"/>
      <x:c r="R16" s="148" t="str">
        <x:f>IF(OR(Q16="",'Setup &amp; Lists'!$B$8=""),"",Q16*'Setup &amp; Lists'!$B$8)</x:f>
      </x:c>
      <x:c r="S16" s="115"/>
      <x:c r="T16" s="117"/>
      <x:c r="U16" s="119"/>
    </x:row>
    <x:row r="17">
      <x:c r="A17" s="139"/>
      <x:c r="B17" s="117"/>
      <x:c r="C17" s="117"/>
      <x:c r="D17" s="117"/>
      <x:c r="E17" s="117"/>
      <x:c r="F17" s="117"/>
      <x:c r="G17" s="117"/>
      <x:c r="H17" s="117"/>
      <x:c r="I17" s="117"/>
      <x:c r="J17" s="118"/>
      <x:c r="K17" s="140"/>
      <x:c r="L17" s="137" t="str">
        <x:f>IF(OR(J17="",K17=""),"",(K17-J17)*1440)</x:f>
      </x:c>
      <x:c r="M17" s="149"/>
      <x:c r="N17" s="150"/>
      <x:c r="O17" s="150"/>
      <x:c r="P17" s="150"/>
      <x:c r="Q17" s="151"/>
      <x:c r="R17" s="148" t="str">
        <x:f>IF(OR(Q17="",'Setup &amp; Lists'!$B$8=""),"",Q17*'Setup &amp; Lists'!$B$8)</x:f>
      </x:c>
      <x:c r="S17" s="115"/>
      <x:c r="T17" s="117"/>
      <x:c r="U17" s="119"/>
    </x:row>
    <x:row r="18">
      <x:c r="A18" s="139"/>
      <x:c r="B18" s="117"/>
      <x:c r="C18" s="117"/>
      <x:c r="D18" s="117"/>
      <x:c r="E18" s="117"/>
      <x:c r="F18" s="117"/>
      <x:c r="G18" s="117"/>
      <x:c r="H18" s="117"/>
      <x:c r="I18" s="117"/>
      <x:c r="J18" s="118"/>
      <x:c r="K18" s="140"/>
      <x:c r="L18" s="137" t="str">
        <x:f>IF(OR(J18="",K18=""),"",(K18-J18)*1440)</x:f>
      </x:c>
      <x:c r="M18" s="149"/>
      <x:c r="N18" s="150"/>
      <x:c r="O18" s="150"/>
      <x:c r="P18" s="150"/>
      <x:c r="Q18" s="151"/>
      <x:c r="R18" s="148" t="str">
        <x:f>IF(OR(Q18="",'Setup &amp; Lists'!$B$8=""),"",Q18*'Setup &amp; Lists'!$B$8)</x:f>
      </x:c>
      <x:c r="S18" s="115"/>
      <x:c r="T18" s="117"/>
      <x:c r="U18" s="119"/>
    </x:row>
    <x:row r="19">
      <x:c r="A19" s="139"/>
      <x:c r="B19" s="117"/>
      <x:c r="C19" s="117"/>
      <x:c r="D19" s="117"/>
      <x:c r="E19" s="117"/>
      <x:c r="F19" s="117"/>
      <x:c r="G19" s="117"/>
      <x:c r="H19" s="117"/>
      <x:c r="I19" s="117"/>
      <x:c r="J19" s="118"/>
      <x:c r="K19" s="140"/>
      <x:c r="L19" s="137" t="str">
        <x:f>IF(OR(J19="",K19=""),"",(K19-J19)*1440)</x:f>
      </x:c>
      <x:c r="M19" s="149"/>
      <x:c r="N19" s="150"/>
      <x:c r="O19" s="150"/>
      <x:c r="P19" s="150"/>
      <x:c r="Q19" s="151"/>
      <x:c r="R19" s="148" t="str">
        <x:f>IF(OR(Q19="",'Setup &amp; Lists'!$B$8=""),"",Q19*'Setup &amp; Lists'!$B$8)</x:f>
      </x:c>
      <x:c r="S19" s="115"/>
      <x:c r="T19" s="117"/>
      <x:c r="U19" s="119"/>
    </x:row>
    <x:row r="20">
      <x:c r="A20" s="139"/>
      <x:c r="B20" s="117"/>
      <x:c r="C20" s="117"/>
      <x:c r="D20" s="117"/>
      <x:c r="E20" s="117"/>
      <x:c r="F20" s="117"/>
      <x:c r="G20" s="117"/>
      <x:c r="H20" s="117"/>
      <x:c r="I20" s="117"/>
      <x:c r="J20" s="118"/>
      <x:c r="K20" s="140"/>
      <x:c r="L20" s="137" t="str">
        <x:f>IF(OR(J20="",K20=""),"",(K20-J20)*1440)</x:f>
      </x:c>
      <x:c r="M20" s="149"/>
      <x:c r="N20" s="150"/>
      <x:c r="O20" s="150"/>
      <x:c r="P20" s="150"/>
      <x:c r="Q20" s="151"/>
      <x:c r="R20" s="148" t="str">
        <x:f>IF(OR(Q20="",'Setup &amp; Lists'!$B$8=""),"",Q20*'Setup &amp; Lists'!$B$8)</x:f>
      </x:c>
      <x:c r="S20" s="115"/>
      <x:c r="T20" s="117"/>
      <x:c r="U20" s="119"/>
    </x:row>
    <x:row r="21">
      <x:c r="A21" s="139"/>
      <x:c r="B21" s="117"/>
      <x:c r="C21" s="117"/>
      <x:c r="D21" s="117"/>
      <x:c r="E21" s="117"/>
      <x:c r="F21" s="117"/>
      <x:c r="G21" s="117"/>
      <x:c r="H21" s="117"/>
      <x:c r="I21" s="117"/>
      <x:c r="J21" s="118"/>
      <x:c r="K21" s="140"/>
      <x:c r="L21" s="137" t="str">
        <x:f>IF(OR(J21="",K21=""),"",(K21-J21)*1440)</x:f>
      </x:c>
      <x:c r="M21" s="149"/>
      <x:c r="N21" s="150"/>
      <x:c r="O21" s="150"/>
      <x:c r="P21" s="150"/>
      <x:c r="Q21" s="151"/>
      <x:c r="R21" s="148" t="str">
        <x:f>IF(OR(Q21="",'Setup &amp; Lists'!$B$8=""),"",Q21*'Setup &amp; Lists'!$B$8)</x:f>
      </x:c>
      <x:c r="S21" s="115"/>
      <x:c r="T21" s="117"/>
      <x:c r="U21" s="119"/>
    </x:row>
    <x:row r="22">
      <x:c r="A22" s="139"/>
      <x:c r="B22" s="117"/>
      <x:c r="C22" s="117"/>
      <x:c r="D22" s="117"/>
      <x:c r="E22" s="117"/>
      <x:c r="F22" s="117"/>
      <x:c r="G22" s="117"/>
      <x:c r="H22" s="117"/>
      <x:c r="I22" s="117"/>
      <x:c r="J22" s="118"/>
      <x:c r="K22" s="140"/>
      <x:c r="L22" s="137" t="str">
        <x:f>IF(OR(J22="",K22=""),"",(K22-J22)*1440)</x:f>
      </x:c>
      <x:c r="M22" s="149"/>
      <x:c r="N22" s="150"/>
      <x:c r="O22" s="150"/>
      <x:c r="P22" s="150"/>
      <x:c r="Q22" s="151"/>
      <x:c r="R22" s="148" t="str">
        <x:f>IF(OR(Q22="",'Setup &amp; Lists'!$B$8=""),"",Q22*'Setup &amp; Lists'!$B$8)</x:f>
      </x:c>
      <x:c r="S22" s="115"/>
      <x:c r="T22" s="117"/>
      <x:c r="U22" s="119"/>
    </x:row>
    <x:row r="23">
      <x:c r="A23" s="139"/>
      <x:c r="B23" s="117"/>
      <x:c r="C23" s="117"/>
      <x:c r="D23" s="117"/>
      <x:c r="E23" s="117"/>
      <x:c r="F23" s="117"/>
      <x:c r="G23" s="117"/>
      <x:c r="H23" s="117"/>
      <x:c r="I23" s="117"/>
      <x:c r="J23" s="118"/>
      <x:c r="K23" s="140"/>
      <x:c r="L23" s="137" t="str">
        <x:f>IF(OR(J23="",K23=""),"",(K23-J23)*1440)</x:f>
      </x:c>
      <x:c r="M23" s="149"/>
      <x:c r="N23" s="150"/>
      <x:c r="O23" s="150"/>
      <x:c r="P23" s="150"/>
      <x:c r="Q23" s="151"/>
      <x:c r="R23" s="148" t="str">
        <x:f>IF(OR(Q23="",'Setup &amp; Lists'!$B$8=""),"",Q23*'Setup &amp; Lists'!$B$8)</x:f>
      </x:c>
      <x:c r="S23" s="115"/>
      <x:c r="T23" s="117"/>
      <x:c r="U23" s="119"/>
    </x:row>
    <x:row r="24">
      <x:c r="A24" s="139"/>
      <x:c r="B24" s="117"/>
      <x:c r="C24" s="117"/>
      <x:c r="D24" s="117"/>
      <x:c r="E24" s="117"/>
      <x:c r="F24" s="117"/>
      <x:c r="G24" s="117"/>
      <x:c r="H24" s="117"/>
      <x:c r="I24" s="117"/>
      <x:c r="J24" s="118"/>
      <x:c r="K24" s="140"/>
      <x:c r="L24" s="137" t="str">
        <x:f>IF(OR(J24="",K24=""),"",(K24-J24)*1440)</x:f>
      </x:c>
      <x:c r="M24" s="149"/>
      <x:c r="N24" s="150"/>
      <x:c r="O24" s="150"/>
      <x:c r="P24" s="150"/>
      <x:c r="Q24" s="151"/>
      <x:c r="R24" s="148" t="str">
        <x:f>IF(OR(Q24="",'Setup &amp; Lists'!$B$8=""),"",Q24*'Setup &amp; Lists'!$B$8)</x:f>
      </x:c>
      <x:c r="S24" s="115"/>
      <x:c r="T24" s="117"/>
      <x:c r="U24" s="119"/>
    </x:row>
    <x:row r="25">
      <x:c r="A25" s="139"/>
      <x:c r="B25" s="117"/>
      <x:c r="C25" s="117"/>
      <x:c r="D25" s="117"/>
      <x:c r="E25" s="117"/>
      <x:c r="F25" s="117"/>
      <x:c r="G25" s="117"/>
      <x:c r="H25" s="117"/>
      <x:c r="I25" s="117"/>
      <x:c r="J25" s="118"/>
      <x:c r="K25" s="140"/>
      <x:c r="L25" s="137" t="str">
        <x:f>IF(OR(J25="",K25=""),"",(K25-J25)*1440)</x:f>
      </x:c>
      <x:c r="M25" s="149"/>
      <x:c r="N25" s="150"/>
      <x:c r="O25" s="150"/>
      <x:c r="P25" s="150"/>
      <x:c r="Q25" s="151"/>
      <x:c r="R25" s="148" t="str">
        <x:f>IF(OR(Q25="",'Setup &amp; Lists'!$B$8=""),"",Q25*'Setup &amp; Lists'!$B$8)</x:f>
      </x:c>
      <x:c r="S25" s="115"/>
      <x:c r="T25" s="117"/>
      <x:c r="U25" s="119"/>
    </x:row>
    <x:row r="26">
      <x:c r="A26" s="139"/>
      <x:c r="B26" s="117"/>
      <x:c r="C26" s="117"/>
      <x:c r="D26" s="117"/>
      <x:c r="E26" s="117"/>
      <x:c r="F26" s="117"/>
      <x:c r="G26" s="117"/>
      <x:c r="H26" s="117"/>
      <x:c r="I26" s="117"/>
      <x:c r="J26" s="118"/>
      <x:c r="K26" s="140"/>
      <x:c r="L26" s="137" t="str">
        <x:f>IF(OR(J26="",K26=""),"",(K26-J26)*1440)</x:f>
      </x:c>
      <x:c r="M26" s="149"/>
      <x:c r="N26" s="150"/>
      <x:c r="O26" s="150"/>
      <x:c r="P26" s="150"/>
      <x:c r="Q26" s="151"/>
      <x:c r="R26" s="148" t="str">
        <x:f>IF(OR(Q26="",'Setup &amp; Lists'!$B$8=""),"",Q26*'Setup &amp; Lists'!$B$8)</x:f>
      </x:c>
      <x:c r="S26" s="115"/>
      <x:c r="T26" s="117"/>
      <x:c r="U26" s="119"/>
    </x:row>
    <x:row r="27">
      <x:c r="A27" s="139"/>
      <x:c r="B27" s="117"/>
      <x:c r="C27" s="117"/>
      <x:c r="D27" s="117"/>
      <x:c r="E27" s="117"/>
      <x:c r="F27" s="117"/>
      <x:c r="G27" s="117"/>
      <x:c r="H27" s="117"/>
      <x:c r="I27" s="117"/>
      <x:c r="J27" s="118"/>
      <x:c r="K27" s="140"/>
      <x:c r="L27" s="137" t="str">
        <x:f>IF(OR(J27="",K27=""),"",(K27-J27)*1440)</x:f>
      </x:c>
      <x:c r="M27" s="149"/>
      <x:c r="N27" s="150"/>
      <x:c r="O27" s="150"/>
      <x:c r="P27" s="150"/>
      <x:c r="Q27" s="151"/>
      <x:c r="R27" s="148" t="str">
        <x:f>IF(OR(Q27="",'Setup &amp; Lists'!$B$8=""),"",Q27*'Setup &amp; Lists'!$B$8)</x:f>
      </x:c>
      <x:c r="S27" s="115"/>
      <x:c r="T27" s="117"/>
      <x:c r="U27" s="119"/>
    </x:row>
    <x:row r="28">
      <x:c r="A28" s="139"/>
      <x:c r="B28" s="117"/>
      <x:c r="C28" s="117"/>
      <x:c r="D28" s="117"/>
      <x:c r="E28" s="117"/>
      <x:c r="F28" s="117"/>
      <x:c r="G28" s="117"/>
      <x:c r="H28" s="117"/>
      <x:c r="I28" s="117"/>
      <x:c r="J28" s="118"/>
      <x:c r="K28" s="140"/>
      <x:c r="L28" s="137" t="str">
        <x:f>IF(OR(J28="",K28=""),"",(K28-J28)*1440)</x:f>
      </x:c>
      <x:c r="M28" s="149"/>
      <x:c r="N28" s="150"/>
      <x:c r="O28" s="150"/>
      <x:c r="P28" s="150"/>
      <x:c r="Q28" s="151"/>
      <x:c r="R28" s="148" t="str">
        <x:f>IF(OR(Q28="",'Setup &amp; Lists'!$B$8=""),"",Q28*'Setup &amp; Lists'!$B$8)</x:f>
      </x:c>
      <x:c r="S28" s="115"/>
      <x:c r="T28" s="117"/>
      <x:c r="U28" s="119"/>
    </x:row>
    <x:row r="29">
      <x:c r="A29" s="139"/>
      <x:c r="B29" s="117"/>
      <x:c r="C29" s="117"/>
      <x:c r="D29" s="117"/>
      <x:c r="E29" s="117"/>
      <x:c r="F29" s="117"/>
      <x:c r="G29" s="117"/>
      <x:c r="H29" s="117"/>
      <x:c r="I29" s="117"/>
      <x:c r="J29" s="118"/>
      <x:c r="K29" s="140"/>
      <x:c r="L29" s="137" t="str">
        <x:f>IF(OR(J29="",K29=""),"",(K29-J29)*1440)</x:f>
      </x:c>
      <x:c r="M29" s="149"/>
      <x:c r="N29" s="150"/>
      <x:c r="O29" s="150"/>
      <x:c r="P29" s="150"/>
      <x:c r="Q29" s="151"/>
      <x:c r="R29" s="148" t="str">
        <x:f>IF(OR(Q29="",'Setup &amp; Lists'!$B$8=""),"",Q29*'Setup &amp; Lists'!$B$8)</x:f>
      </x:c>
      <x:c r="S29" s="115"/>
      <x:c r="T29" s="117"/>
      <x:c r="U29" s="119"/>
    </x:row>
    <x:row r="30">
      <x:c r="A30" s="139"/>
      <x:c r="B30" s="117"/>
      <x:c r="C30" s="117"/>
      <x:c r="D30" s="117"/>
      <x:c r="E30" s="117"/>
      <x:c r="F30" s="117"/>
      <x:c r="G30" s="117"/>
      <x:c r="H30" s="117"/>
      <x:c r="I30" s="117"/>
      <x:c r="J30" s="118"/>
      <x:c r="K30" s="140"/>
      <x:c r="L30" s="137" t="str">
        <x:f>IF(OR(J30="",K30=""),"",(K30-J30)*1440)</x:f>
      </x:c>
      <x:c r="M30" s="149"/>
      <x:c r="N30" s="150"/>
      <x:c r="O30" s="150"/>
      <x:c r="P30" s="150"/>
      <x:c r="Q30" s="151"/>
      <x:c r="R30" s="148" t="str">
        <x:f>IF(OR(Q30="",'Setup &amp; Lists'!$B$8=""),"",Q30*'Setup &amp; Lists'!$B$8)</x:f>
      </x:c>
      <x:c r="S30" s="115"/>
      <x:c r="T30" s="117"/>
      <x:c r="U30" s="119"/>
    </x:row>
    <x:row r="31">
      <x:c r="A31" s="139"/>
      <x:c r="B31" s="117"/>
      <x:c r="C31" s="117"/>
      <x:c r="D31" s="117"/>
      <x:c r="E31" s="117"/>
      <x:c r="F31" s="117"/>
      <x:c r="G31" s="117"/>
      <x:c r="H31" s="117"/>
      <x:c r="I31" s="117"/>
      <x:c r="J31" s="118"/>
      <x:c r="K31" s="140"/>
      <x:c r="L31" s="137" t="str">
        <x:f>IF(OR(J31="",K31=""),"",(K31-J31)*1440)</x:f>
      </x:c>
      <x:c r="M31" s="149"/>
      <x:c r="N31" s="150"/>
      <x:c r="O31" s="150"/>
      <x:c r="P31" s="150"/>
      <x:c r="Q31" s="151"/>
      <x:c r="R31" s="148" t="str">
        <x:f>IF(OR(Q31="",'Setup &amp; Lists'!$B$8=""),"",Q31*'Setup &amp; Lists'!$B$8)</x:f>
      </x:c>
      <x:c r="S31" s="115"/>
      <x:c r="T31" s="117"/>
      <x:c r="U31" s="119"/>
    </x:row>
    <x:row r="32">
      <x:c r="A32" s="139"/>
      <x:c r="B32" s="117"/>
      <x:c r="C32" s="117"/>
      <x:c r="D32" s="117"/>
      <x:c r="E32" s="117"/>
      <x:c r="F32" s="117"/>
      <x:c r="G32" s="117"/>
      <x:c r="H32" s="117"/>
      <x:c r="I32" s="117"/>
      <x:c r="J32" s="118"/>
      <x:c r="K32" s="140"/>
      <x:c r="L32" s="137" t="str">
        <x:f>IF(OR(J32="",K32=""),"",(K32-J32)*1440)</x:f>
      </x:c>
      <x:c r="M32" s="149"/>
      <x:c r="N32" s="150"/>
      <x:c r="O32" s="150"/>
      <x:c r="P32" s="150"/>
      <x:c r="Q32" s="151"/>
      <x:c r="R32" s="148" t="str">
        <x:f>IF(OR(Q32="",'Setup &amp; Lists'!$B$8=""),"",Q32*'Setup &amp; Lists'!$B$8)</x:f>
      </x:c>
      <x:c r="S32" s="115"/>
      <x:c r="T32" s="117"/>
      <x:c r="U32" s="119"/>
    </x:row>
    <x:row r="33">
      <x:c r="A33" s="139"/>
      <x:c r="B33" s="117"/>
      <x:c r="C33" s="117"/>
      <x:c r="D33" s="117"/>
      <x:c r="E33" s="117"/>
      <x:c r="F33" s="117"/>
      <x:c r="G33" s="117"/>
      <x:c r="H33" s="117"/>
      <x:c r="I33" s="117"/>
      <x:c r="J33" s="118"/>
      <x:c r="K33" s="140"/>
      <x:c r="L33" s="137" t="str">
        <x:f>IF(OR(J33="",K33=""),"",(K33-J33)*1440)</x:f>
      </x:c>
      <x:c r="M33" s="149"/>
      <x:c r="N33" s="150"/>
      <x:c r="O33" s="150"/>
      <x:c r="P33" s="150"/>
      <x:c r="Q33" s="151"/>
      <x:c r="R33" s="148" t="str">
        <x:f>IF(OR(Q33="",'Setup &amp; Lists'!$B$8=""),"",Q33*'Setup &amp; Lists'!$B$8)</x:f>
      </x:c>
      <x:c r="S33" s="115"/>
      <x:c r="T33" s="117"/>
      <x:c r="U33" s="119"/>
    </x:row>
    <x:row r="34">
      <x:c r="A34" s="139"/>
      <x:c r="B34" s="117"/>
      <x:c r="C34" s="117"/>
      <x:c r="D34" s="117"/>
      <x:c r="E34" s="117"/>
      <x:c r="F34" s="117"/>
      <x:c r="G34" s="117"/>
      <x:c r="H34" s="117"/>
      <x:c r="I34" s="117"/>
      <x:c r="J34" s="118"/>
      <x:c r="K34" s="140"/>
      <x:c r="L34" s="137" t="str">
        <x:f>IF(OR(J34="",K34=""),"",(K34-J34)*1440)</x:f>
      </x:c>
      <x:c r="M34" s="149"/>
      <x:c r="N34" s="150"/>
      <x:c r="O34" s="150"/>
      <x:c r="P34" s="150"/>
      <x:c r="Q34" s="151"/>
      <x:c r="R34" s="148" t="str">
        <x:f>IF(OR(Q34="",'Setup &amp; Lists'!$B$8=""),"",Q34*'Setup &amp; Lists'!$B$8)</x:f>
      </x:c>
      <x:c r="S34" s="115"/>
      <x:c r="T34" s="117"/>
      <x:c r="U34" s="119"/>
    </x:row>
    <x:row r="35">
      <x:c r="A35" s="139"/>
      <x:c r="B35" s="117"/>
      <x:c r="C35" s="117"/>
      <x:c r="D35" s="117"/>
      <x:c r="E35" s="117"/>
      <x:c r="F35" s="117"/>
      <x:c r="G35" s="117"/>
      <x:c r="H35" s="117"/>
      <x:c r="I35" s="117"/>
      <x:c r="J35" s="118"/>
      <x:c r="K35" s="140"/>
      <x:c r="L35" s="137" t="str">
        <x:f>IF(OR(J35="",K35=""),"",(K35-J35)*1440)</x:f>
      </x:c>
      <x:c r="M35" s="149"/>
      <x:c r="N35" s="150"/>
      <x:c r="O35" s="150"/>
      <x:c r="P35" s="150"/>
      <x:c r="Q35" s="151"/>
      <x:c r="R35" s="148" t="str">
        <x:f>IF(OR(Q35="",'Setup &amp; Lists'!$B$8=""),"",Q35*'Setup &amp; Lists'!$B$8)</x:f>
      </x:c>
      <x:c r="S35" s="115"/>
      <x:c r="T35" s="117"/>
      <x:c r="U35" s="119"/>
    </x:row>
    <x:row r="36">
      <x:c r="A36" s="139"/>
      <x:c r="B36" s="117"/>
      <x:c r="C36" s="117"/>
      <x:c r="D36" s="117"/>
      <x:c r="E36" s="117"/>
      <x:c r="F36" s="117"/>
      <x:c r="G36" s="117"/>
      <x:c r="H36" s="117"/>
      <x:c r="I36" s="117"/>
      <x:c r="J36" s="118"/>
      <x:c r="K36" s="140"/>
      <x:c r="L36" s="137" t="str">
        <x:f>IF(OR(J36="",K36=""),"",(K36-J36)*1440)</x:f>
      </x:c>
      <x:c r="M36" s="149"/>
      <x:c r="N36" s="150"/>
      <x:c r="O36" s="150"/>
      <x:c r="P36" s="150"/>
      <x:c r="Q36" s="151"/>
      <x:c r="R36" s="148" t="str">
        <x:f>IF(OR(Q36="",'Setup &amp; Lists'!$B$8=""),"",Q36*'Setup &amp; Lists'!$B$8)</x:f>
      </x:c>
      <x:c r="S36" s="115"/>
      <x:c r="T36" s="117"/>
      <x:c r="U36" s="119"/>
    </x:row>
    <x:row r="37">
      <x:c r="A37" s="139"/>
      <x:c r="B37" s="117"/>
      <x:c r="C37" s="117"/>
      <x:c r="D37" s="117"/>
      <x:c r="E37" s="117"/>
      <x:c r="F37" s="117"/>
      <x:c r="G37" s="117"/>
      <x:c r="H37" s="117"/>
      <x:c r="I37" s="117"/>
      <x:c r="J37" s="118"/>
      <x:c r="K37" s="140"/>
      <x:c r="L37" s="137" t="str">
        <x:f>IF(OR(J37="",K37=""),"",(K37-J37)*1440)</x:f>
      </x:c>
      <x:c r="M37" s="149"/>
      <x:c r="N37" s="150"/>
      <x:c r="O37" s="150"/>
      <x:c r="P37" s="150"/>
      <x:c r="Q37" s="151"/>
      <x:c r="R37" s="148" t="str">
        <x:f>IF(OR(Q37="",'Setup &amp; Lists'!$B$8=""),"",Q37*'Setup &amp; Lists'!$B$8)</x:f>
      </x:c>
      <x:c r="S37" s="115"/>
      <x:c r="T37" s="117"/>
      <x:c r="U37" s="119"/>
    </x:row>
    <x:row r="38">
      <x:c r="A38" s="139"/>
      <x:c r="B38" s="117"/>
      <x:c r="C38" s="117"/>
      <x:c r="D38" s="117"/>
      <x:c r="E38" s="117"/>
      <x:c r="F38" s="117"/>
      <x:c r="G38" s="117"/>
      <x:c r="H38" s="117"/>
      <x:c r="I38" s="117"/>
      <x:c r="J38" s="118"/>
      <x:c r="K38" s="140"/>
      <x:c r="L38" s="137" t="str">
        <x:f>IF(OR(J38="",K38=""),"",(K38-J38)*1440)</x:f>
      </x:c>
      <x:c r="M38" s="149"/>
      <x:c r="N38" s="150"/>
      <x:c r="O38" s="150"/>
      <x:c r="P38" s="150"/>
      <x:c r="Q38" s="151"/>
      <x:c r="R38" s="148" t="str">
        <x:f>IF(OR(Q38="",'Setup &amp; Lists'!$B$8=""),"",Q38*'Setup &amp; Lists'!$B$8)</x:f>
      </x:c>
      <x:c r="S38" s="115"/>
      <x:c r="T38" s="117"/>
      <x:c r="U38" s="119"/>
    </x:row>
    <x:row r="39">
      <x:c r="A39" s="139"/>
      <x:c r="B39" s="117"/>
      <x:c r="C39" s="117"/>
      <x:c r="D39" s="117"/>
      <x:c r="E39" s="117"/>
      <x:c r="F39" s="117"/>
      <x:c r="G39" s="117"/>
      <x:c r="H39" s="117"/>
      <x:c r="I39" s="117"/>
      <x:c r="J39" s="118"/>
      <x:c r="K39" s="140"/>
      <x:c r="L39" s="137" t="str">
        <x:f>IF(OR(J39="",K39=""),"",(K39-J39)*1440)</x:f>
      </x:c>
      <x:c r="M39" s="149"/>
      <x:c r="N39" s="150"/>
      <x:c r="O39" s="150"/>
      <x:c r="P39" s="150"/>
      <x:c r="Q39" s="151"/>
      <x:c r="R39" s="148" t="str">
        <x:f>IF(OR(Q39="",'Setup &amp; Lists'!$B$8=""),"",Q39*'Setup &amp; Lists'!$B$8)</x:f>
      </x:c>
      <x:c r="S39" s="115"/>
      <x:c r="T39" s="117"/>
      <x:c r="U39" s="119"/>
    </x:row>
    <x:row r="40">
      <x:c r="A40" s="139"/>
      <x:c r="B40" s="117"/>
      <x:c r="C40" s="117"/>
      <x:c r="D40" s="117"/>
      <x:c r="E40" s="117"/>
      <x:c r="F40" s="117"/>
      <x:c r="G40" s="117"/>
      <x:c r="H40" s="117"/>
      <x:c r="I40" s="117"/>
      <x:c r="J40" s="118"/>
      <x:c r="K40" s="140"/>
      <x:c r="L40" s="137" t="str">
        <x:f>IF(OR(J40="",K40=""),"",(K40-J40)*1440)</x:f>
      </x:c>
      <x:c r="M40" s="149"/>
      <x:c r="N40" s="150"/>
      <x:c r="O40" s="150"/>
      <x:c r="P40" s="150"/>
      <x:c r="Q40" s="151"/>
      <x:c r="R40" s="148" t="str">
        <x:f>IF(OR(Q40="",'Setup &amp; Lists'!$B$8=""),"",Q40*'Setup &amp; Lists'!$B$8)</x:f>
      </x:c>
      <x:c r="S40" s="115"/>
      <x:c r="T40" s="117"/>
      <x:c r="U40" s="119"/>
    </x:row>
    <x:row r="41">
      <x:c r="A41" s="139"/>
      <x:c r="B41" s="117"/>
      <x:c r="C41" s="117"/>
      <x:c r="D41" s="117"/>
      <x:c r="E41" s="117"/>
      <x:c r="F41" s="117"/>
      <x:c r="G41" s="117"/>
      <x:c r="H41" s="117"/>
      <x:c r="I41" s="117"/>
      <x:c r="J41" s="118"/>
      <x:c r="K41" s="140"/>
      <x:c r="L41" s="137" t="str">
        <x:f>IF(OR(J41="",K41=""),"",(K41-J41)*1440)</x:f>
      </x:c>
      <x:c r="M41" s="149"/>
      <x:c r="N41" s="150"/>
      <x:c r="O41" s="150"/>
      <x:c r="P41" s="150"/>
      <x:c r="Q41" s="151"/>
      <x:c r="R41" s="148" t="str">
        <x:f>IF(OR(Q41="",'Setup &amp; Lists'!$B$8=""),"",Q41*'Setup &amp; Lists'!$B$8)</x:f>
      </x:c>
      <x:c r="S41" s="115"/>
      <x:c r="T41" s="117"/>
      <x:c r="U41" s="119"/>
    </x:row>
    <x:row r="42">
      <x:c r="A42" s="139"/>
      <x:c r="B42" s="117"/>
      <x:c r="C42" s="117"/>
      <x:c r="D42" s="117"/>
      <x:c r="E42" s="117"/>
      <x:c r="F42" s="117"/>
      <x:c r="G42" s="117"/>
      <x:c r="H42" s="117"/>
      <x:c r="I42" s="117"/>
      <x:c r="J42" s="118"/>
      <x:c r="K42" s="140"/>
      <x:c r="L42" s="137" t="str">
        <x:f>IF(OR(J42="",K42=""),"",(K42-J42)*1440)</x:f>
      </x:c>
      <x:c r="M42" s="149"/>
      <x:c r="N42" s="150"/>
      <x:c r="O42" s="150"/>
      <x:c r="P42" s="150"/>
      <x:c r="Q42" s="151"/>
      <x:c r="R42" s="148" t="str">
        <x:f>IF(OR(Q42="",'Setup &amp; Lists'!$B$8=""),"",Q42*'Setup &amp; Lists'!$B$8)</x:f>
      </x:c>
      <x:c r="S42" s="115"/>
      <x:c r="T42" s="117"/>
      <x:c r="U42" s="119"/>
    </x:row>
    <x:row r="43">
      <x:c r="A43" s="139"/>
      <x:c r="B43" s="117"/>
      <x:c r="C43" s="117"/>
      <x:c r="D43" s="117"/>
      <x:c r="E43" s="117"/>
      <x:c r="F43" s="117"/>
      <x:c r="G43" s="117"/>
      <x:c r="H43" s="117"/>
      <x:c r="I43" s="117"/>
      <x:c r="J43" s="118"/>
      <x:c r="K43" s="140"/>
      <x:c r="L43" s="137" t="str">
        <x:f>IF(OR(J43="",K43=""),"",(K43-J43)*1440)</x:f>
      </x:c>
      <x:c r="M43" s="149"/>
      <x:c r="N43" s="150"/>
      <x:c r="O43" s="150"/>
      <x:c r="P43" s="150"/>
      <x:c r="Q43" s="151"/>
      <x:c r="R43" s="148" t="str">
        <x:f>IF(OR(Q43="",'Setup &amp; Lists'!$B$8=""),"",Q43*'Setup &amp; Lists'!$B$8)</x:f>
      </x:c>
      <x:c r="S43" s="115"/>
      <x:c r="T43" s="117"/>
      <x:c r="U43" s="119"/>
    </x:row>
    <x:row r="44">
      <x:c r="A44" s="139"/>
      <x:c r="B44" s="117"/>
      <x:c r="C44" s="117"/>
      <x:c r="D44" s="117"/>
      <x:c r="E44" s="117"/>
      <x:c r="F44" s="117"/>
      <x:c r="G44" s="117"/>
      <x:c r="H44" s="117"/>
      <x:c r="I44" s="117"/>
      <x:c r="J44" s="118"/>
      <x:c r="K44" s="140"/>
      <x:c r="L44" s="137" t="str">
        <x:f>IF(OR(J44="",K44=""),"",(K44-J44)*1440)</x:f>
      </x:c>
      <x:c r="M44" s="149"/>
      <x:c r="N44" s="150"/>
      <x:c r="O44" s="150"/>
      <x:c r="P44" s="150"/>
      <x:c r="Q44" s="151"/>
      <x:c r="R44" s="148" t="str">
        <x:f>IF(OR(Q44="",'Setup &amp; Lists'!$B$8=""),"",Q44*'Setup &amp; Lists'!$B$8)</x:f>
      </x:c>
      <x:c r="S44" s="115"/>
      <x:c r="T44" s="117"/>
      <x:c r="U44" s="119"/>
    </x:row>
    <x:row r="45">
      <x:c r="A45" s="139"/>
      <x:c r="B45" s="117"/>
      <x:c r="C45" s="117"/>
      <x:c r="D45" s="117"/>
      <x:c r="E45" s="117"/>
      <x:c r="F45" s="117"/>
      <x:c r="G45" s="117"/>
      <x:c r="H45" s="117"/>
      <x:c r="I45" s="117"/>
      <x:c r="J45" s="118"/>
      <x:c r="K45" s="140"/>
      <x:c r="L45" s="137" t="str">
        <x:f>IF(OR(J45="",K45=""),"",(K45-J45)*1440)</x:f>
      </x:c>
      <x:c r="M45" s="149"/>
      <x:c r="N45" s="150"/>
      <x:c r="O45" s="150"/>
      <x:c r="P45" s="150"/>
      <x:c r="Q45" s="151"/>
      <x:c r="R45" s="148" t="str">
        <x:f>IF(OR(Q45="",'Setup &amp; Lists'!$B$8=""),"",Q45*'Setup &amp; Lists'!$B$8)</x:f>
      </x:c>
      <x:c r="S45" s="115"/>
      <x:c r="T45" s="117"/>
      <x:c r="U45" s="119"/>
    </x:row>
    <x:row r="46">
      <x:c r="A46" s="139"/>
      <x:c r="B46" s="117"/>
      <x:c r="C46" s="117"/>
      <x:c r="D46" s="117"/>
      <x:c r="E46" s="117"/>
      <x:c r="F46" s="117"/>
      <x:c r="G46" s="117"/>
      <x:c r="H46" s="117"/>
      <x:c r="I46" s="117"/>
      <x:c r="J46" s="118"/>
      <x:c r="K46" s="140"/>
      <x:c r="L46" s="137" t="str">
        <x:f>IF(OR(J46="",K46=""),"",(K46-J46)*1440)</x:f>
      </x:c>
      <x:c r="M46" s="149"/>
      <x:c r="N46" s="150"/>
      <x:c r="O46" s="150"/>
      <x:c r="P46" s="150"/>
      <x:c r="Q46" s="151"/>
      <x:c r="R46" s="148" t="str">
        <x:f>IF(OR(Q46="",'Setup &amp; Lists'!$B$8=""),"",Q46*'Setup &amp; Lists'!$B$8)</x:f>
      </x:c>
      <x:c r="S46" s="115"/>
      <x:c r="T46" s="117"/>
      <x:c r="U46" s="119"/>
    </x:row>
    <x:row r="47">
      <x:c r="A47" s="139"/>
      <x:c r="B47" s="117"/>
      <x:c r="C47" s="117"/>
      <x:c r="D47" s="117"/>
      <x:c r="E47" s="117"/>
      <x:c r="F47" s="117"/>
      <x:c r="G47" s="117"/>
      <x:c r="H47" s="117"/>
      <x:c r="I47" s="117"/>
      <x:c r="J47" s="118"/>
      <x:c r="K47" s="140"/>
      <x:c r="L47" s="137" t="str">
        <x:f>IF(OR(J47="",K47=""),"",(K47-J47)*1440)</x:f>
      </x:c>
      <x:c r="M47" s="149"/>
      <x:c r="N47" s="150"/>
      <x:c r="O47" s="150"/>
      <x:c r="P47" s="150"/>
      <x:c r="Q47" s="151"/>
      <x:c r="R47" s="148" t="str">
        <x:f>IF(OR(Q47="",'Setup &amp; Lists'!$B$8=""),"",Q47*'Setup &amp; Lists'!$B$8)</x:f>
      </x:c>
      <x:c r="S47" s="115"/>
      <x:c r="T47" s="117"/>
      <x:c r="U47" s="119"/>
    </x:row>
    <x:row r="48">
      <x:c r="A48" s="139"/>
      <x:c r="B48" s="117"/>
      <x:c r="C48" s="117"/>
      <x:c r="D48" s="117"/>
      <x:c r="E48" s="117"/>
      <x:c r="F48" s="117"/>
      <x:c r="G48" s="117"/>
      <x:c r="H48" s="117"/>
      <x:c r="I48" s="117"/>
      <x:c r="J48" s="118"/>
      <x:c r="K48" s="140"/>
      <x:c r="L48" s="137" t="str">
        <x:f>IF(OR(J48="",K48=""),"",(K48-J48)*1440)</x:f>
      </x:c>
      <x:c r="M48" s="149"/>
      <x:c r="N48" s="150"/>
      <x:c r="O48" s="150"/>
      <x:c r="P48" s="150"/>
      <x:c r="Q48" s="151"/>
      <x:c r="R48" s="148" t="str">
        <x:f>IF(OR(Q48="",'Setup &amp; Lists'!$B$8=""),"",Q48*'Setup &amp; Lists'!$B$8)</x:f>
      </x:c>
      <x:c r="S48" s="115"/>
      <x:c r="T48" s="117"/>
      <x:c r="U48" s="119"/>
    </x:row>
    <x:row r="49">
      <x:c r="A49" s="139"/>
      <x:c r="B49" s="117"/>
      <x:c r="C49" s="117"/>
      <x:c r="D49" s="117"/>
      <x:c r="E49" s="117"/>
      <x:c r="F49" s="117"/>
      <x:c r="G49" s="117"/>
      <x:c r="H49" s="117"/>
      <x:c r="I49" s="117"/>
      <x:c r="J49" s="118"/>
      <x:c r="K49" s="140"/>
      <x:c r="L49" s="137" t="str">
        <x:f>IF(OR(J49="",K49=""),"",(K49-J49)*1440)</x:f>
      </x:c>
      <x:c r="M49" s="149"/>
      <x:c r="N49" s="150"/>
      <x:c r="O49" s="150"/>
      <x:c r="P49" s="150"/>
      <x:c r="Q49" s="151"/>
      <x:c r="R49" s="148" t="str">
        <x:f>IF(OR(Q49="",'Setup &amp; Lists'!$B$8=""),"",Q49*'Setup &amp; Lists'!$B$8)</x:f>
      </x:c>
      <x:c r="S49" s="115"/>
      <x:c r="T49" s="117"/>
      <x:c r="U49" s="119"/>
    </x:row>
    <x:row r="50">
      <x:c r="A50" s="139"/>
      <x:c r="B50" s="117"/>
      <x:c r="C50" s="117"/>
      <x:c r="D50" s="117"/>
      <x:c r="E50" s="117"/>
      <x:c r="F50" s="117"/>
      <x:c r="G50" s="117"/>
      <x:c r="H50" s="117"/>
      <x:c r="I50" s="117"/>
      <x:c r="J50" s="118"/>
      <x:c r="K50" s="140"/>
      <x:c r="L50" s="137" t="str">
        <x:f>IF(OR(J50="",K50=""),"",(K50-J50)*1440)</x:f>
      </x:c>
      <x:c r="M50" s="149"/>
      <x:c r="N50" s="150"/>
      <x:c r="O50" s="150"/>
      <x:c r="P50" s="150"/>
      <x:c r="Q50" s="151"/>
      <x:c r="R50" s="148" t="str">
        <x:f>IF(OR(Q50="",'Setup &amp; Lists'!$B$8=""),"",Q50*'Setup &amp; Lists'!$B$8)</x:f>
      </x:c>
      <x:c r="S50" s="115"/>
      <x:c r="T50" s="117"/>
      <x:c r="U50" s="119"/>
    </x:row>
    <x:row r="51">
      <x:c r="A51" s="139"/>
      <x:c r="B51" s="117"/>
      <x:c r="C51" s="117"/>
      <x:c r="D51" s="117"/>
      <x:c r="E51" s="117"/>
      <x:c r="F51" s="117"/>
      <x:c r="G51" s="117"/>
      <x:c r="H51" s="117"/>
      <x:c r="I51" s="117"/>
      <x:c r="J51" s="118"/>
      <x:c r="K51" s="140"/>
      <x:c r="L51" s="137" t="str">
        <x:f>IF(OR(J51="",K51=""),"",(K51-J51)*1440)</x:f>
      </x:c>
      <x:c r="M51" s="149"/>
      <x:c r="N51" s="150"/>
      <x:c r="O51" s="150"/>
      <x:c r="P51" s="150"/>
      <x:c r="Q51" s="151"/>
      <x:c r="R51" s="148" t="str">
        <x:f>IF(OR(Q51="",'Setup &amp; Lists'!$B$8=""),"",Q51*'Setup &amp; Lists'!$B$8)</x:f>
      </x:c>
      <x:c r="S51" s="115"/>
      <x:c r="T51" s="117"/>
      <x:c r="U51" s="119"/>
    </x:row>
    <x:row r="52">
      <x:c r="A52" s="139"/>
      <x:c r="B52" s="117"/>
      <x:c r="C52" s="117"/>
      <x:c r="D52" s="117"/>
      <x:c r="E52" s="117"/>
      <x:c r="F52" s="117"/>
      <x:c r="G52" s="117"/>
      <x:c r="H52" s="117"/>
      <x:c r="I52" s="117"/>
      <x:c r="J52" s="118"/>
      <x:c r="K52" s="140"/>
      <x:c r="L52" s="137" t="str">
        <x:f>IF(OR(J52="",K52=""),"",(K52-J52)*1440)</x:f>
      </x:c>
      <x:c r="M52" s="149"/>
      <x:c r="N52" s="150"/>
      <x:c r="O52" s="150"/>
      <x:c r="P52" s="150"/>
      <x:c r="Q52" s="151"/>
      <x:c r="R52" s="148" t="str">
        <x:f>IF(OR(Q52="",'Setup &amp; Lists'!$B$8=""),"",Q52*'Setup &amp; Lists'!$B$8)</x:f>
      </x:c>
      <x:c r="S52" s="115"/>
      <x:c r="T52" s="117"/>
      <x:c r="U52" s="119"/>
    </x:row>
    <x:row r="53">
      <x:c r="A53" s="139"/>
      <x:c r="B53" s="117"/>
      <x:c r="C53" s="117"/>
      <x:c r="D53" s="117"/>
      <x:c r="E53" s="117"/>
      <x:c r="F53" s="117"/>
      <x:c r="G53" s="117"/>
      <x:c r="H53" s="117"/>
      <x:c r="I53" s="117"/>
      <x:c r="J53" s="118"/>
      <x:c r="K53" s="140"/>
      <x:c r="L53" s="137" t="str">
        <x:f>IF(OR(J53="",K53=""),"",(K53-J53)*1440)</x:f>
      </x:c>
      <x:c r="M53" s="149"/>
      <x:c r="N53" s="150"/>
      <x:c r="O53" s="150"/>
      <x:c r="P53" s="150"/>
      <x:c r="Q53" s="151"/>
      <x:c r="R53" s="148" t="str">
        <x:f>IF(OR(Q53="",'Setup &amp; Lists'!$B$8=""),"",Q53*'Setup &amp; Lists'!$B$8)</x:f>
      </x:c>
      <x:c r="S53" s="115"/>
      <x:c r="T53" s="117"/>
      <x:c r="U53" s="119"/>
    </x:row>
    <x:row r="54">
      <x:c r="A54" s="139"/>
      <x:c r="B54" s="117"/>
      <x:c r="C54" s="117"/>
      <x:c r="D54" s="117"/>
      <x:c r="E54" s="117"/>
      <x:c r="F54" s="117"/>
      <x:c r="G54" s="117"/>
      <x:c r="H54" s="117"/>
      <x:c r="I54" s="117"/>
      <x:c r="J54" s="118"/>
      <x:c r="K54" s="140"/>
      <x:c r="L54" s="137" t="str">
        <x:f>IF(OR(J54="",K54=""),"",(K54-J54)*1440)</x:f>
      </x:c>
      <x:c r="M54" s="149"/>
      <x:c r="N54" s="150"/>
      <x:c r="O54" s="150"/>
      <x:c r="P54" s="150"/>
      <x:c r="Q54" s="151"/>
      <x:c r="R54" s="148" t="str">
        <x:f>IF(OR(Q54="",'Setup &amp; Lists'!$B$8=""),"",Q54*'Setup &amp; Lists'!$B$8)</x:f>
      </x:c>
      <x:c r="S54" s="115"/>
      <x:c r="T54" s="117"/>
      <x:c r="U54" s="119"/>
    </x:row>
    <x:row r="55">
      <x:c r="A55" s="139"/>
      <x:c r="B55" s="117"/>
      <x:c r="C55" s="117"/>
      <x:c r="D55" s="117"/>
      <x:c r="E55" s="117"/>
      <x:c r="F55" s="117"/>
      <x:c r="G55" s="117"/>
      <x:c r="H55" s="117"/>
      <x:c r="I55" s="117"/>
      <x:c r="J55" s="118"/>
      <x:c r="K55" s="140"/>
      <x:c r="L55" s="137" t="str">
        <x:f>IF(OR(J55="",K55=""),"",(K55-J55)*1440)</x:f>
      </x:c>
      <x:c r="M55" s="149"/>
      <x:c r="N55" s="150"/>
      <x:c r="O55" s="150"/>
      <x:c r="P55" s="150"/>
      <x:c r="Q55" s="151"/>
      <x:c r="R55" s="148" t="str">
        <x:f>IF(OR(Q55="",'Setup &amp; Lists'!$B$8=""),"",Q55*'Setup &amp; Lists'!$B$8)</x:f>
      </x:c>
      <x:c r="S55" s="115"/>
      <x:c r="T55" s="117"/>
      <x:c r="U55" s="119"/>
    </x:row>
    <x:row r="56">
      <x:c r="A56" s="139"/>
      <x:c r="B56" s="117"/>
      <x:c r="C56" s="117"/>
      <x:c r="D56" s="117"/>
      <x:c r="E56" s="117"/>
      <x:c r="F56" s="117"/>
      <x:c r="G56" s="117"/>
      <x:c r="H56" s="117"/>
      <x:c r="I56" s="117"/>
      <x:c r="J56" s="118"/>
      <x:c r="K56" s="140"/>
      <x:c r="L56" s="137" t="str">
        <x:f>IF(OR(J56="",K56=""),"",(K56-J56)*1440)</x:f>
      </x:c>
      <x:c r="M56" s="149"/>
      <x:c r="N56" s="150"/>
      <x:c r="O56" s="150"/>
      <x:c r="P56" s="150"/>
      <x:c r="Q56" s="151"/>
      <x:c r="R56" s="148" t="str">
        <x:f>IF(OR(Q56="",'Setup &amp; Lists'!$B$8=""),"",Q56*'Setup &amp; Lists'!$B$8)</x:f>
      </x:c>
      <x:c r="S56" s="115"/>
      <x:c r="T56" s="117"/>
      <x:c r="U56" s="119"/>
    </x:row>
    <x:row r="57">
      <x:c r="A57" s="139"/>
      <x:c r="B57" s="117"/>
      <x:c r="C57" s="117"/>
      <x:c r="D57" s="117"/>
      <x:c r="E57" s="117"/>
      <x:c r="F57" s="117"/>
      <x:c r="G57" s="117"/>
      <x:c r="H57" s="117"/>
      <x:c r="I57" s="117"/>
      <x:c r="J57" s="118"/>
      <x:c r="K57" s="140"/>
      <x:c r="L57" s="137" t="str">
        <x:f>IF(OR(J57="",K57=""),"",(K57-J57)*1440)</x:f>
      </x:c>
      <x:c r="M57" s="149"/>
      <x:c r="N57" s="150"/>
      <x:c r="O57" s="150"/>
      <x:c r="P57" s="150"/>
      <x:c r="Q57" s="151"/>
      <x:c r="R57" s="148" t="str">
        <x:f>IF(OR(Q57="",'Setup &amp; Lists'!$B$8=""),"",Q57*'Setup &amp; Lists'!$B$8)</x:f>
      </x:c>
      <x:c r="S57" s="115"/>
      <x:c r="T57" s="117"/>
      <x:c r="U57" s="119"/>
    </x:row>
    <x:row r="58">
      <x:c r="A58" s="139"/>
      <x:c r="B58" s="117"/>
      <x:c r="C58" s="117"/>
      <x:c r="D58" s="117"/>
      <x:c r="E58" s="117"/>
      <x:c r="F58" s="117"/>
      <x:c r="G58" s="117"/>
      <x:c r="H58" s="117"/>
      <x:c r="I58" s="117"/>
      <x:c r="J58" s="118"/>
      <x:c r="K58" s="140"/>
      <x:c r="L58" s="137" t="str">
        <x:f>IF(OR(J58="",K58=""),"",(K58-J58)*1440)</x:f>
      </x:c>
      <x:c r="M58" s="149"/>
      <x:c r="N58" s="150"/>
      <x:c r="O58" s="150"/>
      <x:c r="P58" s="150"/>
      <x:c r="Q58" s="151"/>
      <x:c r="R58" s="148" t="str">
        <x:f>IF(OR(Q58="",'Setup &amp; Lists'!$B$8=""),"",Q58*'Setup &amp; Lists'!$B$8)</x:f>
      </x:c>
      <x:c r="S58" s="115"/>
      <x:c r="T58" s="117"/>
      <x:c r="U58" s="119"/>
    </x:row>
    <x:row r="59">
      <x:c r="A59" s="139"/>
      <x:c r="B59" s="117"/>
      <x:c r="C59" s="117"/>
      <x:c r="D59" s="117"/>
      <x:c r="E59" s="117"/>
      <x:c r="F59" s="117"/>
      <x:c r="G59" s="117"/>
      <x:c r="H59" s="117"/>
      <x:c r="I59" s="117"/>
      <x:c r="J59" s="118"/>
      <x:c r="K59" s="140"/>
      <x:c r="L59" s="137" t="str">
        <x:f>IF(OR(J59="",K59=""),"",(K59-J59)*1440)</x:f>
      </x:c>
      <x:c r="M59" s="149"/>
      <x:c r="N59" s="150"/>
      <x:c r="O59" s="150"/>
      <x:c r="P59" s="150"/>
      <x:c r="Q59" s="151"/>
      <x:c r="R59" s="148" t="str">
        <x:f>IF(OR(Q59="",'Setup &amp; Lists'!$B$8=""),"",Q59*'Setup &amp; Lists'!$B$8)</x:f>
      </x:c>
      <x:c r="S59" s="115"/>
      <x:c r="T59" s="117"/>
      <x:c r="U59" s="119"/>
    </x:row>
    <x:row r="60">
      <x:c r="A60" s="139"/>
      <x:c r="B60" s="117"/>
      <x:c r="C60" s="117"/>
      <x:c r="D60" s="117"/>
      <x:c r="E60" s="117"/>
      <x:c r="F60" s="117"/>
      <x:c r="G60" s="117"/>
      <x:c r="H60" s="117"/>
      <x:c r="I60" s="117"/>
      <x:c r="J60" s="118"/>
      <x:c r="K60" s="140"/>
      <x:c r="L60" s="137" t="str">
        <x:f>IF(OR(J60="",K60=""),"",(K60-J60)*1440)</x:f>
      </x:c>
      <x:c r="M60" s="149"/>
      <x:c r="N60" s="150"/>
      <x:c r="O60" s="150"/>
      <x:c r="P60" s="150"/>
      <x:c r="Q60" s="151"/>
      <x:c r="R60" s="148" t="str">
        <x:f>IF(OR(Q60="",'Setup &amp; Lists'!$B$8=""),"",Q60*'Setup &amp; Lists'!$B$8)</x:f>
      </x:c>
      <x:c r="S60" s="115"/>
      <x:c r="T60" s="117"/>
      <x:c r="U60" s="119"/>
    </x:row>
    <x:row r="61">
      <x:c r="A61" s="139"/>
      <x:c r="B61" s="117"/>
      <x:c r="C61" s="117"/>
      <x:c r="D61" s="117"/>
      <x:c r="E61" s="117"/>
      <x:c r="F61" s="117"/>
      <x:c r="G61" s="117"/>
      <x:c r="H61" s="117"/>
      <x:c r="I61" s="117"/>
      <x:c r="J61" s="118"/>
      <x:c r="K61" s="140"/>
      <x:c r="L61" s="137" t="str">
        <x:f>IF(OR(J61="",K61=""),"",(K61-J61)*1440)</x:f>
      </x:c>
      <x:c r="M61" s="149"/>
      <x:c r="N61" s="150"/>
      <x:c r="O61" s="150"/>
      <x:c r="P61" s="150"/>
      <x:c r="Q61" s="151"/>
      <x:c r="R61" s="148" t="str">
        <x:f>IF(OR(Q61="",'Setup &amp; Lists'!$B$8=""),"",Q61*'Setup &amp; Lists'!$B$8)</x:f>
      </x:c>
      <x:c r="S61" s="115"/>
      <x:c r="T61" s="117"/>
      <x:c r="U61" s="119"/>
    </x:row>
    <x:row r="62">
      <x:c r="A62" s="139"/>
      <x:c r="B62" s="117"/>
      <x:c r="C62" s="117"/>
      <x:c r="D62" s="117"/>
      <x:c r="E62" s="117"/>
      <x:c r="F62" s="117"/>
      <x:c r="G62" s="117"/>
      <x:c r="H62" s="117"/>
      <x:c r="I62" s="117"/>
      <x:c r="J62" s="118"/>
      <x:c r="K62" s="140"/>
      <x:c r="L62" s="137" t="str">
        <x:f>IF(OR(J62="",K62=""),"",(K62-J62)*1440)</x:f>
      </x:c>
      <x:c r="M62" s="149"/>
      <x:c r="N62" s="150"/>
      <x:c r="O62" s="150"/>
      <x:c r="P62" s="150"/>
      <x:c r="Q62" s="151"/>
      <x:c r="R62" s="148" t="str">
        <x:f>IF(OR(Q62="",'Setup &amp; Lists'!$B$8=""),"",Q62*'Setup &amp; Lists'!$B$8)</x:f>
      </x:c>
      <x:c r="S62" s="115"/>
      <x:c r="T62" s="117"/>
      <x:c r="U62" s="119"/>
    </x:row>
    <x:row r="63">
      <x:c r="A63" s="139"/>
      <x:c r="B63" s="117"/>
      <x:c r="C63" s="117"/>
      <x:c r="D63" s="117"/>
      <x:c r="E63" s="117"/>
      <x:c r="F63" s="117"/>
      <x:c r="G63" s="117"/>
      <x:c r="H63" s="117"/>
      <x:c r="I63" s="117"/>
      <x:c r="J63" s="118"/>
      <x:c r="K63" s="140"/>
      <x:c r="L63" s="137" t="str">
        <x:f>IF(OR(J63="",K63=""),"",(K63-J63)*1440)</x:f>
      </x:c>
      <x:c r="M63" s="149"/>
      <x:c r="N63" s="150"/>
      <x:c r="O63" s="150"/>
      <x:c r="P63" s="150"/>
      <x:c r="Q63" s="151"/>
      <x:c r="R63" s="148" t="str">
        <x:f>IF(OR(Q63="",'Setup &amp; Lists'!$B$8=""),"",Q63*'Setup &amp; Lists'!$B$8)</x:f>
      </x:c>
      <x:c r="S63" s="115"/>
      <x:c r="T63" s="117"/>
      <x:c r="U63" s="119"/>
    </x:row>
    <x:row r="64">
      <x:c r="A64" s="139"/>
      <x:c r="B64" s="117"/>
      <x:c r="C64" s="117"/>
      <x:c r="D64" s="117"/>
      <x:c r="E64" s="117"/>
      <x:c r="F64" s="117"/>
      <x:c r="G64" s="117"/>
      <x:c r="H64" s="117"/>
      <x:c r="I64" s="117"/>
      <x:c r="J64" s="118"/>
      <x:c r="K64" s="140"/>
      <x:c r="L64" s="137" t="str">
        <x:f>IF(OR(J64="",K64=""),"",(K64-J64)*1440)</x:f>
      </x:c>
      <x:c r="M64" s="149"/>
      <x:c r="N64" s="150"/>
      <x:c r="O64" s="150"/>
      <x:c r="P64" s="150"/>
      <x:c r="Q64" s="151"/>
      <x:c r="R64" s="148" t="str">
        <x:f>IF(OR(Q64="",'Setup &amp; Lists'!$B$8=""),"",Q64*'Setup &amp; Lists'!$B$8)</x:f>
      </x:c>
      <x:c r="S64" s="115"/>
      <x:c r="T64" s="117"/>
      <x:c r="U64" s="119"/>
    </x:row>
    <x:row r="65">
      <x:c r="A65" s="139"/>
      <x:c r="B65" s="117"/>
      <x:c r="C65" s="117"/>
      <x:c r="D65" s="117"/>
      <x:c r="E65" s="117"/>
      <x:c r="F65" s="117"/>
      <x:c r="G65" s="117"/>
      <x:c r="H65" s="117"/>
      <x:c r="I65" s="117"/>
      <x:c r="J65" s="118"/>
      <x:c r="K65" s="140"/>
      <x:c r="L65" s="137" t="str">
        <x:f>IF(OR(J65="",K65=""),"",(K65-J65)*1440)</x:f>
      </x:c>
      <x:c r="M65" s="149"/>
      <x:c r="N65" s="150"/>
      <x:c r="O65" s="150"/>
      <x:c r="P65" s="150"/>
      <x:c r="Q65" s="151"/>
      <x:c r="R65" s="148" t="str">
        <x:f>IF(OR(Q65="",'Setup &amp; Lists'!$B$8=""),"",Q65*'Setup &amp; Lists'!$B$8)</x:f>
      </x:c>
      <x:c r="S65" s="115"/>
      <x:c r="T65" s="117"/>
      <x:c r="U65" s="119"/>
    </x:row>
    <x:row r="66">
      <x:c r="A66" s="139"/>
      <x:c r="B66" s="117"/>
      <x:c r="C66" s="117"/>
      <x:c r="D66" s="117"/>
      <x:c r="E66" s="117"/>
      <x:c r="F66" s="117"/>
      <x:c r="G66" s="117"/>
      <x:c r="H66" s="117"/>
      <x:c r="I66" s="117"/>
      <x:c r="J66" s="118"/>
      <x:c r="K66" s="140"/>
      <x:c r="L66" s="137" t="str">
        <x:f>IF(OR(J66="",K66=""),"",(K66-J66)*1440)</x:f>
      </x:c>
      <x:c r="M66" s="149"/>
      <x:c r="N66" s="150"/>
      <x:c r="O66" s="150"/>
      <x:c r="P66" s="150"/>
      <x:c r="Q66" s="151"/>
      <x:c r="R66" s="148" t="str">
        <x:f>IF(OR(Q66="",'Setup &amp; Lists'!$B$8=""),"",Q66*'Setup &amp; Lists'!$B$8)</x:f>
      </x:c>
      <x:c r="S66" s="115"/>
      <x:c r="T66" s="117"/>
      <x:c r="U66" s="119"/>
    </x:row>
    <x:row r="67">
      <x:c r="A67" s="139"/>
      <x:c r="B67" s="117"/>
      <x:c r="C67" s="117"/>
      <x:c r="D67" s="117"/>
      <x:c r="E67" s="117"/>
      <x:c r="F67" s="117"/>
      <x:c r="G67" s="117"/>
      <x:c r="H67" s="117"/>
      <x:c r="I67" s="117"/>
      <x:c r="J67" s="118"/>
      <x:c r="K67" s="140"/>
      <x:c r="L67" s="137" t="str">
        <x:f>IF(OR(J67="",K67=""),"",(K67-J67)*1440)</x:f>
      </x:c>
      <x:c r="M67" s="149"/>
      <x:c r="N67" s="150"/>
      <x:c r="O67" s="150"/>
      <x:c r="P67" s="150"/>
      <x:c r="Q67" s="151"/>
      <x:c r="R67" s="148" t="str">
        <x:f>IF(OR(Q67="",'Setup &amp; Lists'!$B$8=""),"",Q67*'Setup &amp; Lists'!$B$8)</x:f>
      </x:c>
      <x:c r="S67" s="115"/>
      <x:c r="T67" s="117"/>
      <x:c r="U67" s="119"/>
    </x:row>
    <x:row r="68">
      <x:c r="A68" s="139"/>
      <x:c r="B68" s="117"/>
      <x:c r="C68" s="117"/>
      <x:c r="D68" s="117"/>
      <x:c r="E68" s="117"/>
      <x:c r="F68" s="117"/>
      <x:c r="G68" s="117"/>
      <x:c r="H68" s="117"/>
      <x:c r="I68" s="117"/>
      <x:c r="J68" s="118"/>
      <x:c r="K68" s="140"/>
      <x:c r="L68" s="137" t="str">
        <x:f>IF(OR(J68="",K68=""),"",(K68-J68)*1440)</x:f>
      </x:c>
      <x:c r="M68" s="149"/>
      <x:c r="N68" s="150"/>
      <x:c r="O68" s="150"/>
      <x:c r="P68" s="150"/>
      <x:c r="Q68" s="151"/>
      <x:c r="R68" s="148" t="str">
        <x:f>IF(OR(Q68="",'Setup &amp; Lists'!$B$8=""),"",Q68*'Setup &amp; Lists'!$B$8)</x:f>
      </x:c>
      <x:c r="S68" s="115"/>
      <x:c r="T68" s="117"/>
      <x:c r="U68" s="119"/>
    </x:row>
    <x:row r="69">
      <x:c r="A69" s="139"/>
      <x:c r="B69" s="117"/>
      <x:c r="C69" s="117"/>
      <x:c r="D69" s="117"/>
      <x:c r="E69" s="117"/>
      <x:c r="F69" s="117"/>
      <x:c r="G69" s="117"/>
      <x:c r="H69" s="117"/>
      <x:c r="I69" s="117"/>
      <x:c r="J69" s="118"/>
      <x:c r="K69" s="140"/>
      <x:c r="L69" s="137" t="str">
        <x:f>IF(OR(J69="",K69=""),"",(K69-J69)*1440)</x:f>
      </x:c>
      <x:c r="M69" s="149"/>
      <x:c r="N69" s="150"/>
      <x:c r="O69" s="150"/>
      <x:c r="P69" s="150"/>
      <x:c r="Q69" s="151"/>
      <x:c r="R69" s="148" t="str">
        <x:f>IF(OR(Q69="",'Setup &amp; Lists'!$B$8=""),"",Q69*'Setup &amp; Lists'!$B$8)</x:f>
      </x:c>
      <x:c r="S69" s="115"/>
      <x:c r="T69" s="117"/>
      <x:c r="U69" s="119"/>
    </x:row>
    <x:row r="70">
      <x:c r="A70" s="139"/>
      <x:c r="B70" s="117"/>
      <x:c r="C70" s="117"/>
      <x:c r="D70" s="117"/>
      <x:c r="E70" s="117"/>
      <x:c r="F70" s="117"/>
      <x:c r="G70" s="117"/>
      <x:c r="H70" s="117"/>
      <x:c r="I70" s="117"/>
      <x:c r="J70" s="118"/>
      <x:c r="K70" s="140"/>
      <x:c r="L70" s="137" t="str">
        <x:f>IF(OR(J70="",K70=""),"",(K70-J70)*1440)</x:f>
      </x:c>
      <x:c r="M70" s="149"/>
      <x:c r="N70" s="150"/>
      <x:c r="O70" s="150"/>
      <x:c r="P70" s="150"/>
      <x:c r="Q70" s="151"/>
      <x:c r="R70" s="148" t="str">
        <x:f>IF(OR(Q70="",'Setup &amp; Lists'!$B$8=""),"",Q70*'Setup &amp; Lists'!$B$8)</x:f>
      </x:c>
      <x:c r="S70" s="115"/>
      <x:c r="T70" s="117"/>
      <x:c r="U70" s="119"/>
    </x:row>
    <x:row r="71">
      <x:c r="A71" s="139"/>
      <x:c r="B71" s="117"/>
      <x:c r="C71" s="117"/>
      <x:c r="D71" s="117"/>
      <x:c r="E71" s="117"/>
      <x:c r="F71" s="117"/>
      <x:c r="G71" s="117"/>
      <x:c r="H71" s="117"/>
      <x:c r="I71" s="117"/>
      <x:c r="J71" s="118"/>
      <x:c r="K71" s="140"/>
      <x:c r="L71" s="137" t="str">
        <x:f>IF(OR(J71="",K71=""),"",(K71-J71)*1440)</x:f>
      </x:c>
      <x:c r="M71" s="149"/>
      <x:c r="N71" s="150"/>
      <x:c r="O71" s="150"/>
      <x:c r="P71" s="150"/>
      <x:c r="Q71" s="151"/>
      <x:c r="R71" s="148" t="str">
        <x:f>IF(OR(Q71="",'Setup &amp; Lists'!$B$8=""),"",Q71*'Setup &amp; Lists'!$B$8)</x:f>
      </x:c>
      <x:c r="S71" s="115"/>
      <x:c r="T71" s="117"/>
      <x:c r="U71" s="119"/>
    </x:row>
    <x:row r="72">
      <x:c r="A72" s="139"/>
      <x:c r="B72" s="117"/>
      <x:c r="C72" s="117"/>
      <x:c r="D72" s="117"/>
      <x:c r="E72" s="117"/>
      <x:c r="F72" s="117"/>
      <x:c r="G72" s="117"/>
      <x:c r="H72" s="117"/>
      <x:c r="I72" s="117"/>
      <x:c r="J72" s="118"/>
      <x:c r="K72" s="140"/>
      <x:c r="L72" s="137" t="str">
        <x:f>IF(OR(J72="",K72=""),"",(K72-J72)*1440)</x:f>
      </x:c>
      <x:c r="M72" s="149"/>
      <x:c r="N72" s="150"/>
      <x:c r="O72" s="150"/>
      <x:c r="P72" s="150"/>
      <x:c r="Q72" s="151"/>
      <x:c r="R72" s="148" t="str">
        <x:f>IF(OR(Q72="",'Setup &amp; Lists'!$B$8=""),"",Q72*'Setup &amp; Lists'!$B$8)</x:f>
      </x:c>
      <x:c r="S72" s="115"/>
      <x:c r="T72" s="117"/>
      <x:c r="U72" s="119"/>
    </x:row>
    <x:row r="73">
      <x:c r="A73" s="139"/>
      <x:c r="B73" s="117"/>
      <x:c r="C73" s="117"/>
      <x:c r="D73" s="117"/>
      <x:c r="E73" s="117"/>
      <x:c r="F73" s="117"/>
      <x:c r="G73" s="117"/>
      <x:c r="H73" s="117"/>
      <x:c r="I73" s="117"/>
      <x:c r="J73" s="118"/>
      <x:c r="K73" s="140"/>
      <x:c r="L73" s="137" t="str">
        <x:f>IF(OR(J73="",K73=""),"",(K73-J73)*1440)</x:f>
      </x:c>
      <x:c r="M73" s="149"/>
      <x:c r="N73" s="150"/>
      <x:c r="O73" s="150"/>
      <x:c r="P73" s="150"/>
      <x:c r="Q73" s="151"/>
      <x:c r="R73" s="148" t="str">
        <x:f>IF(OR(Q73="",'Setup &amp; Lists'!$B$8=""),"",Q73*'Setup &amp; Lists'!$B$8)</x:f>
      </x:c>
      <x:c r="S73" s="115"/>
      <x:c r="T73" s="117"/>
      <x:c r="U73" s="119"/>
    </x:row>
    <x:row r="74">
      <x:c r="A74" s="139"/>
      <x:c r="B74" s="117"/>
      <x:c r="C74" s="117"/>
      <x:c r="D74" s="117"/>
      <x:c r="E74" s="117"/>
      <x:c r="F74" s="117"/>
      <x:c r="G74" s="117"/>
      <x:c r="H74" s="117"/>
      <x:c r="I74" s="117"/>
      <x:c r="J74" s="118"/>
      <x:c r="K74" s="140"/>
      <x:c r="L74" s="137" t="str">
        <x:f>IF(OR(J74="",K74=""),"",(K74-J74)*1440)</x:f>
      </x:c>
      <x:c r="M74" s="149"/>
      <x:c r="N74" s="150"/>
      <x:c r="O74" s="150"/>
      <x:c r="P74" s="150"/>
      <x:c r="Q74" s="151"/>
      <x:c r="R74" s="148" t="str">
        <x:f>IF(OR(Q74="",'Setup &amp; Lists'!$B$8=""),"",Q74*'Setup &amp; Lists'!$B$8)</x:f>
      </x:c>
      <x:c r="S74" s="115"/>
      <x:c r="T74" s="117"/>
      <x:c r="U74" s="119"/>
    </x:row>
    <x:row r="75">
      <x:c r="A75" s="139"/>
      <x:c r="B75" s="117"/>
      <x:c r="C75" s="117"/>
      <x:c r="D75" s="117"/>
      <x:c r="E75" s="117"/>
      <x:c r="F75" s="117"/>
      <x:c r="G75" s="117"/>
      <x:c r="H75" s="117"/>
      <x:c r="I75" s="117"/>
      <x:c r="J75" s="118"/>
      <x:c r="K75" s="140"/>
      <x:c r="L75" s="137" t="str">
        <x:f>IF(OR(J75="",K75=""),"",(K75-J75)*1440)</x:f>
      </x:c>
      <x:c r="M75" s="149"/>
      <x:c r="N75" s="150"/>
      <x:c r="O75" s="150"/>
      <x:c r="P75" s="150"/>
      <x:c r="Q75" s="151"/>
      <x:c r="R75" s="148" t="str">
        <x:f>IF(OR(Q75="",'Setup &amp; Lists'!$B$8=""),"",Q75*'Setup &amp; Lists'!$B$8)</x:f>
      </x:c>
      <x:c r="S75" s="115"/>
      <x:c r="T75" s="117"/>
      <x:c r="U75" s="119"/>
    </x:row>
    <x:row r="76">
      <x:c r="A76" s="139"/>
      <x:c r="B76" s="117"/>
      <x:c r="C76" s="117"/>
      <x:c r="D76" s="117"/>
      <x:c r="E76" s="117"/>
      <x:c r="F76" s="117"/>
      <x:c r="G76" s="117"/>
      <x:c r="H76" s="117"/>
      <x:c r="I76" s="117"/>
      <x:c r="J76" s="118"/>
      <x:c r="K76" s="140"/>
      <x:c r="L76" s="137" t="str">
        <x:f>IF(OR(J76="",K76=""),"",(K76-J76)*1440)</x:f>
      </x:c>
      <x:c r="M76" s="149"/>
      <x:c r="N76" s="150"/>
      <x:c r="O76" s="150"/>
      <x:c r="P76" s="150"/>
      <x:c r="Q76" s="151"/>
      <x:c r="R76" s="148" t="str">
        <x:f>IF(OR(Q76="",'Setup &amp; Lists'!$B$8=""),"",Q76*'Setup &amp; Lists'!$B$8)</x:f>
      </x:c>
      <x:c r="S76" s="115"/>
      <x:c r="T76" s="117"/>
      <x:c r="U76" s="119"/>
    </x:row>
    <x:row r="77">
      <x:c r="A77" s="139"/>
      <x:c r="B77" s="117"/>
      <x:c r="C77" s="117"/>
      <x:c r="D77" s="117"/>
      <x:c r="E77" s="117"/>
      <x:c r="F77" s="117"/>
      <x:c r="G77" s="117"/>
      <x:c r="H77" s="117"/>
      <x:c r="I77" s="117"/>
      <x:c r="J77" s="118"/>
      <x:c r="K77" s="140"/>
      <x:c r="L77" s="137" t="str">
        <x:f>IF(OR(J77="",K77=""),"",(K77-J77)*1440)</x:f>
      </x:c>
      <x:c r="M77" s="149"/>
      <x:c r="N77" s="150"/>
      <x:c r="O77" s="150"/>
      <x:c r="P77" s="150"/>
      <x:c r="Q77" s="151"/>
      <x:c r="R77" s="148" t="str">
        <x:f>IF(OR(Q77="",'Setup &amp; Lists'!$B$8=""),"",Q77*'Setup &amp; Lists'!$B$8)</x:f>
      </x:c>
      <x:c r="S77" s="115"/>
      <x:c r="T77" s="117"/>
      <x:c r="U77" s="119"/>
    </x:row>
    <x:row r="78">
      <x:c r="A78" s="139"/>
      <x:c r="B78" s="117"/>
      <x:c r="C78" s="117"/>
      <x:c r="D78" s="117"/>
      <x:c r="E78" s="117"/>
      <x:c r="F78" s="117"/>
      <x:c r="G78" s="117"/>
      <x:c r="H78" s="117"/>
      <x:c r="I78" s="117"/>
      <x:c r="J78" s="118"/>
      <x:c r="K78" s="140"/>
      <x:c r="L78" s="137" t="str">
        <x:f>IF(OR(J78="",K78=""),"",(K78-J78)*1440)</x:f>
      </x:c>
      <x:c r="M78" s="149"/>
      <x:c r="N78" s="150"/>
      <x:c r="O78" s="150"/>
      <x:c r="P78" s="150"/>
      <x:c r="Q78" s="151"/>
      <x:c r="R78" s="148" t="str">
        <x:f>IF(OR(Q78="",'Setup &amp; Lists'!$B$8=""),"",Q78*'Setup &amp; Lists'!$B$8)</x:f>
      </x:c>
      <x:c r="S78" s="115"/>
      <x:c r="T78" s="117"/>
      <x:c r="U78" s="119"/>
    </x:row>
    <x:row r="79">
      <x:c r="A79" s="139"/>
      <x:c r="B79" s="117"/>
      <x:c r="C79" s="117"/>
      <x:c r="D79" s="117"/>
      <x:c r="E79" s="117"/>
      <x:c r="F79" s="117"/>
      <x:c r="G79" s="117"/>
      <x:c r="H79" s="117"/>
      <x:c r="I79" s="117"/>
      <x:c r="J79" s="118"/>
      <x:c r="K79" s="140"/>
      <x:c r="L79" s="137" t="str">
        <x:f>IF(OR(J79="",K79=""),"",(K79-J79)*1440)</x:f>
      </x:c>
      <x:c r="M79" s="149"/>
      <x:c r="N79" s="150"/>
      <x:c r="O79" s="150"/>
      <x:c r="P79" s="150"/>
      <x:c r="Q79" s="151"/>
      <x:c r="R79" s="148" t="str">
        <x:f>IF(OR(Q79="",'Setup &amp; Lists'!$B$8=""),"",Q79*'Setup &amp; Lists'!$B$8)</x:f>
      </x:c>
      <x:c r="S79" s="115"/>
      <x:c r="T79" s="117"/>
      <x:c r="U79" s="119"/>
    </x:row>
    <x:row r="80">
      <x:c r="A80" s="139"/>
      <x:c r="B80" s="117"/>
      <x:c r="C80" s="117"/>
      <x:c r="D80" s="117"/>
      <x:c r="E80" s="117"/>
      <x:c r="F80" s="117"/>
      <x:c r="G80" s="117"/>
      <x:c r="H80" s="117"/>
      <x:c r="I80" s="117"/>
      <x:c r="J80" s="118"/>
      <x:c r="K80" s="140"/>
      <x:c r="L80" s="137" t="str">
        <x:f>IF(OR(J80="",K80=""),"",(K80-J80)*1440)</x:f>
      </x:c>
      <x:c r="M80" s="149"/>
      <x:c r="N80" s="150"/>
      <x:c r="O80" s="150"/>
      <x:c r="P80" s="150"/>
      <x:c r="Q80" s="151"/>
      <x:c r="R80" s="148" t="str">
        <x:f>IF(OR(Q80="",'Setup &amp; Lists'!$B$8=""),"",Q80*'Setup &amp; Lists'!$B$8)</x:f>
      </x:c>
      <x:c r="S80" s="115"/>
      <x:c r="T80" s="117"/>
      <x:c r="U80" s="119"/>
    </x:row>
    <x:row r="81">
      <x:c r="A81" s="139"/>
      <x:c r="B81" s="117"/>
      <x:c r="C81" s="117"/>
      <x:c r="D81" s="117"/>
      <x:c r="E81" s="117"/>
      <x:c r="F81" s="117"/>
      <x:c r="G81" s="117"/>
      <x:c r="H81" s="117"/>
      <x:c r="I81" s="117"/>
      <x:c r="J81" s="118"/>
      <x:c r="K81" s="140"/>
      <x:c r="L81" s="137" t="str">
        <x:f>IF(OR(J81="",K81=""),"",(K81-J81)*1440)</x:f>
      </x:c>
      <x:c r="M81" s="149"/>
      <x:c r="N81" s="150"/>
      <x:c r="O81" s="150"/>
      <x:c r="P81" s="150"/>
      <x:c r="Q81" s="151"/>
      <x:c r="R81" s="148" t="str">
        <x:f>IF(OR(Q81="",'Setup &amp; Lists'!$B$8=""),"",Q81*'Setup &amp; Lists'!$B$8)</x:f>
      </x:c>
      <x:c r="S81" s="115"/>
      <x:c r="T81" s="117"/>
      <x:c r="U81" s="119"/>
    </x:row>
    <x:row r="82">
      <x:c r="A82" s="139"/>
      <x:c r="B82" s="117"/>
      <x:c r="C82" s="117"/>
      <x:c r="D82" s="117"/>
      <x:c r="E82" s="117"/>
      <x:c r="F82" s="117"/>
      <x:c r="G82" s="117"/>
      <x:c r="H82" s="117"/>
      <x:c r="I82" s="117"/>
      <x:c r="J82" s="118"/>
      <x:c r="K82" s="140"/>
      <x:c r="L82" s="137" t="str">
        <x:f>IF(OR(J82="",K82=""),"",(K82-J82)*1440)</x:f>
      </x:c>
      <x:c r="M82" s="149"/>
      <x:c r="N82" s="150"/>
      <x:c r="O82" s="150"/>
      <x:c r="P82" s="150"/>
      <x:c r="Q82" s="151"/>
      <x:c r="R82" s="148" t="str">
        <x:f>IF(OR(Q82="",'Setup &amp; Lists'!$B$8=""),"",Q82*'Setup &amp; Lists'!$B$8)</x:f>
      </x:c>
      <x:c r="S82" s="115"/>
      <x:c r="T82" s="117"/>
      <x:c r="U82" s="119"/>
    </x:row>
    <x:row r="83">
      <x:c r="A83" s="139"/>
      <x:c r="B83" s="117"/>
      <x:c r="C83" s="117"/>
      <x:c r="D83" s="117"/>
      <x:c r="E83" s="117"/>
      <x:c r="F83" s="117"/>
      <x:c r="G83" s="117"/>
      <x:c r="H83" s="117"/>
      <x:c r="I83" s="117"/>
      <x:c r="J83" s="118"/>
      <x:c r="K83" s="140"/>
      <x:c r="L83" s="137" t="str">
        <x:f>IF(OR(J83="",K83=""),"",(K83-J83)*1440)</x:f>
      </x:c>
      <x:c r="M83" s="149"/>
      <x:c r="N83" s="150"/>
      <x:c r="O83" s="150"/>
      <x:c r="P83" s="150"/>
      <x:c r="Q83" s="151"/>
      <x:c r="R83" s="148" t="str">
        <x:f>IF(OR(Q83="",'Setup &amp; Lists'!$B$8=""),"",Q83*'Setup &amp; Lists'!$B$8)</x:f>
      </x:c>
      <x:c r="S83" s="115"/>
      <x:c r="T83" s="117"/>
      <x:c r="U83" s="119"/>
    </x:row>
    <x:row r="84">
      <x:c r="A84" s="139"/>
      <x:c r="B84" s="117"/>
      <x:c r="C84" s="117"/>
      <x:c r="D84" s="117"/>
      <x:c r="E84" s="117"/>
      <x:c r="F84" s="117"/>
      <x:c r="G84" s="117"/>
      <x:c r="H84" s="117"/>
      <x:c r="I84" s="117"/>
      <x:c r="J84" s="118"/>
      <x:c r="K84" s="140"/>
      <x:c r="L84" s="137" t="str">
        <x:f>IF(OR(J84="",K84=""),"",(K84-J84)*1440)</x:f>
      </x:c>
      <x:c r="M84" s="149"/>
      <x:c r="N84" s="150"/>
      <x:c r="O84" s="150"/>
      <x:c r="P84" s="150"/>
      <x:c r="Q84" s="151"/>
      <x:c r="R84" s="148" t="str">
        <x:f>IF(OR(Q84="",'Setup &amp; Lists'!$B$8=""),"",Q84*'Setup &amp; Lists'!$B$8)</x:f>
      </x:c>
      <x:c r="S84" s="115"/>
      <x:c r="T84" s="117"/>
      <x:c r="U84" s="119"/>
    </x:row>
    <x:row r="85">
      <x:c r="A85" s="139"/>
      <x:c r="B85" s="117"/>
      <x:c r="C85" s="117"/>
      <x:c r="D85" s="117"/>
      <x:c r="E85" s="117"/>
      <x:c r="F85" s="117"/>
      <x:c r="G85" s="117"/>
      <x:c r="H85" s="117"/>
      <x:c r="I85" s="117"/>
      <x:c r="J85" s="118"/>
      <x:c r="K85" s="140"/>
      <x:c r="L85" s="137" t="str">
        <x:f>IF(OR(J85="",K85=""),"",(K85-J85)*1440)</x:f>
      </x:c>
      <x:c r="M85" s="149"/>
      <x:c r="N85" s="150"/>
      <x:c r="O85" s="150"/>
      <x:c r="P85" s="150"/>
      <x:c r="Q85" s="151"/>
      <x:c r="R85" s="148" t="str">
        <x:f>IF(OR(Q85="",'Setup &amp; Lists'!$B$8=""),"",Q85*'Setup &amp; Lists'!$B$8)</x:f>
      </x:c>
      <x:c r="S85" s="115"/>
      <x:c r="T85" s="117"/>
      <x:c r="U85" s="119"/>
    </x:row>
    <x:row r="86">
      <x:c r="A86" s="139"/>
      <x:c r="B86" s="117"/>
      <x:c r="C86" s="117"/>
      <x:c r="D86" s="117"/>
      <x:c r="E86" s="117"/>
      <x:c r="F86" s="117"/>
      <x:c r="G86" s="117"/>
      <x:c r="H86" s="117"/>
      <x:c r="I86" s="117"/>
      <x:c r="J86" s="118"/>
      <x:c r="K86" s="140"/>
      <x:c r="L86" s="137" t="str">
        <x:f>IF(OR(J86="",K86=""),"",(K86-J86)*1440)</x:f>
      </x:c>
      <x:c r="M86" s="149"/>
      <x:c r="N86" s="150"/>
      <x:c r="O86" s="150"/>
      <x:c r="P86" s="150"/>
      <x:c r="Q86" s="151"/>
      <x:c r="R86" s="148" t="str">
        <x:f>IF(OR(Q86="",'Setup &amp; Lists'!$B$8=""),"",Q86*'Setup &amp; Lists'!$B$8)</x:f>
      </x:c>
      <x:c r="S86" s="115"/>
      <x:c r="T86" s="117"/>
      <x:c r="U86" s="119"/>
    </x:row>
    <x:row r="87">
      <x:c r="A87" s="139"/>
      <x:c r="B87" s="117"/>
      <x:c r="C87" s="117"/>
      <x:c r="D87" s="117"/>
      <x:c r="E87" s="117"/>
      <x:c r="F87" s="117"/>
      <x:c r="G87" s="117"/>
      <x:c r="H87" s="117"/>
      <x:c r="I87" s="117"/>
      <x:c r="J87" s="118"/>
      <x:c r="K87" s="140"/>
      <x:c r="L87" s="137" t="str">
        <x:f>IF(OR(J87="",K87=""),"",(K87-J87)*1440)</x:f>
      </x:c>
      <x:c r="M87" s="149"/>
      <x:c r="N87" s="150"/>
      <x:c r="O87" s="150"/>
      <x:c r="P87" s="150"/>
      <x:c r="Q87" s="151"/>
      <x:c r="R87" s="148" t="str">
        <x:f>IF(OR(Q87="",'Setup &amp; Lists'!$B$8=""),"",Q87*'Setup &amp; Lists'!$B$8)</x:f>
      </x:c>
      <x:c r="S87" s="115"/>
      <x:c r="T87" s="117"/>
      <x:c r="U87" s="119"/>
    </x:row>
    <x:row r="88">
      <x:c r="A88" s="139"/>
      <x:c r="B88" s="117"/>
      <x:c r="C88" s="117"/>
      <x:c r="D88" s="117"/>
      <x:c r="E88" s="117"/>
      <x:c r="F88" s="117"/>
      <x:c r="G88" s="117"/>
      <x:c r="H88" s="117"/>
      <x:c r="I88" s="117"/>
      <x:c r="J88" s="118"/>
      <x:c r="K88" s="140"/>
      <x:c r="L88" s="137" t="str">
        <x:f>IF(OR(J88="",K88=""),"",(K88-J88)*1440)</x:f>
      </x:c>
      <x:c r="M88" s="149"/>
      <x:c r="N88" s="150"/>
      <x:c r="O88" s="150"/>
      <x:c r="P88" s="150"/>
      <x:c r="Q88" s="151"/>
      <x:c r="R88" s="148" t="str">
        <x:f>IF(OR(Q88="",'Setup &amp; Lists'!$B$8=""),"",Q88*'Setup &amp; Lists'!$B$8)</x:f>
      </x:c>
      <x:c r="S88" s="115"/>
      <x:c r="T88" s="117"/>
      <x:c r="U88" s="119"/>
    </x:row>
    <x:row r="89">
      <x:c r="A89" s="139"/>
      <x:c r="B89" s="117"/>
      <x:c r="C89" s="117"/>
      <x:c r="D89" s="117"/>
      <x:c r="E89" s="117"/>
      <x:c r="F89" s="117"/>
      <x:c r="G89" s="117"/>
      <x:c r="H89" s="117"/>
      <x:c r="I89" s="117"/>
      <x:c r="J89" s="118"/>
      <x:c r="K89" s="140"/>
      <x:c r="L89" s="137" t="str">
        <x:f>IF(OR(J89="",K89=""),"",(K89-J89)*1440)</x:f>
      </x:c>
      <x:c r="M89" s="149"/>
      <x:c r="N89" s="150"/>
      <x:c r="O89" s="150"/>
      <x:c r="P89" s="150"/>
      <x:c r="Q89" s="151"/>
      <x:c r="R89" s="148" t="str">
        <x:f>IF(OR(Q89="",'Setup &amp; Lists'!$B$8=""),"",Q89*'Setup &amp; Lists'!$B$8)</x:f>
      </x:c>
      <x:c r="S89" s="115"/>
      <x:c r="T89" s="117"/>
      <x:c r="U89" s="119"/>
    </x:row>
    <x:row r="90">
      <x:c r="A90" s="139"/>
      <x:c r="B90" s="117"/>
      <x:c r="C90" s="117"/>
      <x:c r="D90" s="117"/>
      <x:c r="E90" s="117"/>
      <x:c r="F90" s="117"/>
      <x:c r="G90" s="117"/>
      <x:c r="H90" s="117"/>
      <x:c r="I90" s="117"/>
      <x:c r="J90" s="118"/>
      <x:c r="K90" s="140"/>
      <x:c r="L90" s="137" t="str">
        <x:f>IF(OR(J90="",K90=""),"",(K90-J90)*1440)</x:f>
      </x:c>
      <x:c r="M90" s="149"/>
      <x:c r="N90" s="150"/>
      <x:c r="O90" s="150"/>
      <x:c r="P90" s="150"/>
      <x:c r="Q90" s="151"/>
      <x:c r="R90" s="148" t="str">
        <x:f>IF(OR(Q90="",'Setup &amp; Lists'!$B$8=""),"",Q90*'Setup &amp; Lists'!$B$8)</x:f>
      </x:c>
      <x:c r="S90" s="115"/>
      <x:c r="T90" s="117"/>
      <x:c r="U90" s="119"/>
    </x:row>
    <x:row r="91">
      <x:c r="A91" s="139"/>
      <x:c r="B91" s="117"/>
      <x:c r="C91" s="117"/>
      <x:c r="D91" s="117"/>
      <x:c r="E91" s="117"/>
      <x:c r="F91" s="117"/>
      <x:c r="G91" s="117"/>
      <x:c r="H91" s="117"/>
      <x:c r="I91" s="117"/>
      <x:c r="J91" s="118"/>
      <x:c r="K91" s="140"/>
      <x:c r="L91" s="137" t="str">
        <x:f>IF(OR(J91="",K91=""),"",(K91-J91)*1440)</x:f>
      </x:c>
      <x:c r="M91" s="149"/>
      <x:c r="N91" s="150"/>
      <x:c r="O91" s="150"/>
      <x:c r="P91" s="150"/>
      <x:c r="Q91" s="151"/>
      <x:c r="R91" s="148" t="str">
        <x:f>IF(OR(Q91="",'Setup &amp; Lists'!$B$8=""),"",Q91*'Setup &amp; Lists'!$B$8)</x:f>
      </x:c>
      <x:c r="S91" s="115"/>
      <x:c r="T91" s="117"/>
      <x:c r="U91" s="119"/>
    </x:row>
    <x:row r="92">
      <x:c r="A92" s="139"/>
      <x:c r="B92" s="117"/>
      <x:c r="C92" s="117"/>
      <x:c r="D92" s="117"/>
      <x:c r="E92" s="117"/>
      <x:c r="F92" s="117"/>
      <x:c r="G92" s="117"/>
      <x:c r="H92" s="117"/>
      <x:c r="I92" s="117"/>
      <x:c r="J92" s="118"/>
      <x:c r="K92" s="140"/>
      <x:c r="L92" s="137" t="str">
        <x:f>IF(OR(J92="",K92=""),"",(K92-J92)*1440)</x:f>
      </x:c>
      <x:c r="M92" s="149"/>
      <x:c r="N92" s="150"/>
      <x:c r="O92" s="150"/>
      <x:c r="P92" s="150"/>
      <x:c r="Q92" s="151"/>
      <x:c r="R92" s="148" t="str">
        <x:f>IF(OR(Q92="",'Setup &amp; Lists'!$B$8=""),"",Q92*'Setup &amp; Lists'!$B$8)</x:f>
      </x:c>
      <x:c r="S92" s="115"/>
      <x:c r="T92" s="117"/>
      <x:c r="U92" s="119"/>
    </x:row>
    <x:row r="93">
      <x:c r="A93" s="139"/>
      <x:c r="B93" s="117"/>
      <x:c r="C93" s="117"/>
      <x:c r="D93" s="117"/>
      <x:c r="E93" s="117"/>
      <x:c r="F93" s="117"/>
      <x:c r="G93" s="117"/>
      <x:c r="H93" s="117"/>
      <x:c r="I93" s="117"/>
      <x:c r="J93" s="118"/>
      <x:c r="K93" s="140"/>
      <x:c r="L93" s="137" t="str">
        <x:f>IF(OR(J93="",K93=""),"",(K93-J93)*1440)</x:f>
      </x:c>
      <x:c r="M93" s="149"/>
      <x:c r="N93" s="150"/>
      <x:c r="O93" s="150"/>
      <x:c r="P93" s="150"/>
      <x:c r="Q93" s="151"/>
      <x:c r="R93" s="148" t="str">
        <x:f>IF(OR(Q93="",'Setup &amp; Lists'!$B$8=""),"",Q93*'Setup &amp; Lists'!$B$8)</x:f>
      </x:c>
      <x:c r="S93" s="115"/>
      <x:c r="T93" s="117"/>
      <x:c r="U93" s="119"/>
    </x:row>
    <x:row r="94">
      <x:c r="A94" s="139"/>
      <x:c r="B94" s="117"/>
      <x:c r="C94" s="117"/>
      <x:c r="D94" s="117"/>
      <x:c r="E94" s="117"/>
      <x:c r="F94" s="117"/>
      <x:c r="G94" s="117"/>
      <x:c r="H94" s="117"/>
      <x:c r="I94" s="117"/>
      <x:c r="J94" s="118"/>
      <x:c r="K94" s="140"/>
      <x:c r="L94" s="137" t="str">
        <x:f>IF(OR(J94="",K94=""),"",(K94-J94)*1440)</x:f>
      </x:c>
      <x:c r="M94" s="149"/>
      <x:c r="N94" s="150"/>
      <x:c r="O94" s="150"/>
      <x:c r="P94" s="150"/>
      <x:c r="Q94" s="151"/>
      <x:c r="R94" s="148" t="str">
        <x:f>IF(OR(Q94="",'Setup &amp; Lists'!$B$8=""),"",Q94*'Setup &amp; Lists'!$B$8)</x:f>
      </x:c>
      <x:c r="S94" s="115"/>
      <x:c r="T94" s="117"/>
      <x:c r="U94" s="119"/>
    </x:row>
    <x:row r="95">
      <x:c r="A95" s="139"/>
      <x:c r="B95" s="117"/>
      <x:c r="C95" s="117"/>
      <x:c r="D95" s="117"/>
      <x:c r="E95" s="117"/>
      <x:c r="F95" s="117"/>
      <x:c r="G95" s="117"/>
      <x:c r="H95" s="117"/>
      <x:c r="I95" s="117"/>
      <x:c r="J95" s="118"/>
      <x:c r="K95" s="140"/>
      <x:c r="L95" s="137" t="str">
        <x:f>IF(OR(J95="",K95=""),"",(K95-J95)*1440)</x:f>
      </x:c>
      <x:c r="M95" s="149"/>
      <x:c r="N95" s="150"/>
      <x:c r="O95" s="150"/>
      <x:c r="P95" s="150"/>
      <x:c r="Q95" s="151"/>
      <x:c r="R95" s="148" t="str">
        <x:f>IF(OR(Q95="",'Setup &amp; Lists'!$B$8=""),"",Q95*'Setup &amp; Lists'!$B$8)</x:f>
      </x:c>
      <x:c r="S95" s="115"/>
      <x:c r="T95" s="117"/>
      <x:c r="U95" s="119"/>
    </x:row>
    <x:row r="96">
      <x:c r="A96" s="139"/>
      <x:c r="B96" s="117"/>
      <x:c r="C96" s="117"/>
      <x:c r="D96" s="117"/>
      <x:c r="E96" s="117"/>
      <x:c r="F96" s="117"/>
      <x:c r="G96" s="117"/>
      <x:c r="H96" s="117"/>
      <x:c r="I96" s="117"/>
      <x:c r="J96" s="118"/>
      <x:c r="K96" s="140"/>
      <x:c r="L96" s="137" t="str">
        <x:f>IF(OR(J96="",K96=""),"",(K96-J96)*1440)</x:f>
      </x:c>
      <x:c r="M96" s="149"/>
      <x:c r="N96" s="150"/>
      <x:c r="O96" s="150"/>
      <x:c r="P96" s="150"/>
      <x:c r="Q96" s="151"/>
      <x:c r="R96" s="148" t="str">
        <x:f>IF(OR(Q96="",'Setup &amp; Lists'!$B$8=""),"",Q96*'Setup &amp; Lists'!$B$8)</x:f>
      </x:c>
      <x:c r="S96" s="115"/>
      <x:c r="T96" s="117"/>
      <x:c r="U96" s="119"/>
    </x:row>
    <x:row r="97">
      <x:c r="A97" s="139"/>
      <x:c r="B97" s="117"/>
      <x:c r="C97" s="117"/>
      <x:c r="D97" s="117"/>
      <x:c r="E97" s="117"/>
      <x:c r="F97" s="117"/>
      <x:c r="G97" s="117"/>
      <x:c r="H97" s="117"/>
      <x:c r="I97" s="117"/>
      <x:c r="J97" s="118"/>
      <x:c r="K97" s="140"/>
      <x:c r="L97" s="137" t="str">
        <x:f>IF(OR(J97="",K97=""),"",(K97-J97)*1440)</x:f>
      </x:c>
      <x:c r="M97" s="149"/>
      <x:c r="N97" s="150"/>
      <x:c r="O97" s="150"/>
      <x:c r="P97" s="150"/>
      <x:c r="Q97" s="151"/>
      <x:c r="R97" s="148" t="str">
        <x:f>IF(OR(Q97="",'Setup &amp; Lists'!$B$8=""),"",Q97*'Setup &amp; Lists'!$B$8)</x:f>
      </x:c>
      <x:c r="S97" s="115"/>
      <x:c r="T97" s="117"/>
      <x:c r="U97" s="119"/>
    </x:row>
    <x:row r="98">
      <x:c r="A98" s="139"/>
      <x:c r="B98" s="117"/>
      <x:c r="C98" s="117"/>
      <x:c r="D98" s="117"/>
      <x:c r="E98" s="117"/>
      <x:c r="F98" s="117"/>
      <x:c r="G98" s="117"/>
      <x:c r="H98" s="117"/>
      <x:c r="I98" s="117"/>
      <x:c r="J98" s="118"/>
      <x:c r="K98" s="140"/>
      <x:c r="L98" s="137" t="str">
        <x:f>IF(OR(J98="",K98=""),"",(K98-J98)*1440)</x:f>
      </x:c>
      <x:c r="M98" s="149"/>
      <x:c r="N98" s="150"/>
      <x:c r="O98" s="150"/>
      <x:c r="P98" s="150"/>
      <x:c r="Q98" s="151"/>
      <x:c r="R98" s="148" t="str">
        <x:f>IF(OR(Q98="",'Setup &amp; Lists'!$B$8=""),"",Q98*'Setup &amp; Lists'!$B$8)</x:f>
      </x:c>
      <x:c r="S98" s="115"/>
      <x:c r="T98" s="117"/>
      <x:c r="U98" s="119"/>
    </x:row>
    <x:row r="99">
      <x:c r="A99" s="139"/>
      <x:c r="B99" s="117"/>
      <x:c r="C99" s="117"/>
      <x:c r="D99" s="117"/>
      <x:c r="E99" s="117"/>
      <x:c r="F99" s="117"/>
      <x:c r="G99" s="117"/>
      <x:c r="H99" s="117"/>
      <x:c r="I99" s="117"/>
      <x:c r="J99" s="118"/>
      <x:c r="K99" s="140"/>
      <x:c r="L99" s="137" t="str">
        <x:f>IF(OR(J99="",K99=""),"",(K99-J99)*1440)</x:f>
      </x:c>
      <x:c r="M99" s="149"/>
      <x:c r="N99" s="150"/>
      <x:c r="O99" s="150"/>
      <x:c r="P99" s="150"/>
      <x:c r="Q99" s="151"/>
      <x:c r="R99" s="148" t="str">
        <x:f>IF(OR(Q99="",'Setup &amp; Lists'!$B$8=""),"",Q99*'Setup &amp; Lists'!$B$8)</x:f>
      </x:c>
      <x:c r="S99" s="115"/>
      <x:c r="T99" s="117"/>
      <x:c r="U99" s="119"/>
    </x:row>
    <x:row r="100">
      <x:c r="A100" s="139"/>
      <x:c r="B100" s="117"/>
      <x:c r="C100" s="117"/>
      <x:c r="D100" s="117"/>
      <x:c r="E100" s="117"/>
      <x:c r="F100" s="117"/>
      <x:c r="G100" s="117"/>
      <x:c r="H100" s="117"/>
      <x:c r="I100" s="117"/>
      <x:c r="J100" s="118"/>
      <x:c r="K100" s="140"/>
      <x:c r="L100" s="137" t="str">
        <x:f>IF(OR(J100="",K100=""),"",(K100-J100)*1440)</x:f>
      </x:c>
      <x:c r="M100" s="149"/>
      <x:c r="N100" s="150"/>
      <x:c r="O100" s="150"/>
      <x:c r="P100" s="150"/>
      <x:c r="Q100" s="151"/>
      <x:c r="R100" s="148" t="str">
        <x:f>IF(OR(Q100="",'Setup &amp; Lists'!$B$8=""),"",Q100*'Setup &amp; Lists'!$B$8)</x:f>
      </x:c>
      <x:c r="S100" s="115"/>
      <x:c r="T100" s="117"/>
      <x:c r="U100" s="119"/>
    </x:row>
    <x:row r="101">
      <x:c r="A101" s="139"/>
      <x:c r="B101" s="117"/>
      <x:c r="C101" s="117"/>
      <x:c r="D101" s="117"/>
      <x:c r="E101" s="117"/>
      <x:c r="F101" s="117"/>
      <x:c r="G101" s="117"/>
      <x:c r="H101" s="117"/>
      <x:c r="I101" s="117"/>
      <x:c r="J101" s="118"/>
      <x:c r="K101" s="140"/>
      <x:c r="L101" s="137" t="str">
        <x:f>IF(OR(J101="",K101=""),"",(K101-J101)*1440)</x:f>
      </x:c>
      <x:c r="M101" s="149"/>
      <x:c r="N101" s="150"/>
      <x:c r="O101" s="150"/>
      <x:c r="P101" s="150"/>
      <x:c r="Q101" s="151"/>
      <x:c r="R101" s="148" t="str">
        <x:f>IF(OR(Q101="",'Setup &amp; Lists'!$B$8=""),"",Q101*'Setup &amp; Lists'!$B$8)</x:f>
      </x:c>
      <x:c r="S101" s="115"/>
      <x:c r="T101" s="117"/>
      <x:c r="U101" s="119"/>
    </x:row>
    <x:row r="102">
      <x:c r="A102" s="139"/>
      <x:c r="B102" s="117"/>
      <x:c r="C102" s="117"/>
      <x:c r="D102" s="117"/>
      <x:c r="E102" s="117"/>
      <x:c r="F102" s="117"/>
      <x:c r="G102" s="117"/>
      <x:c r="H102" s="117"/>
      <x:c r="I102" s="117"/>
      <x:c r="J102" s="118"/>
      <x:c r="K102" s="140"/>
      <x:c r="L102" s="137" t="str">
        <x:f>IF(OR(J102="",K102=""),"",(K102-J102)*1440)</x:f>
      </x:c>
      <x:c r="M102" s="149"/>
      <x:c r="N102" s="150"/>
      <x:c r="O102" s="150"/>
      <x:c r="P102" s="150"/>
      <x:c r="Q102" s="151"/>
      <x:c r="R102" s="148" t="str">
        <x:f>IF(OR(Q102="",'Setup &amp; Lists'!$B$8=""),"",Q102*'Setup &amp; Lists'!$B$8)</x:f>
      </x:c>
      <x:c r="S102" s="115"/>
      <x:c r="T102" s="117"/>
      <x:c r="U102" s="119"/>
    </x:row>
    <x:row r="103">
      <x:c r="A103" s="139"/>
      <x:c r="B103" s="117"/>
      <x:c r="C103" s="117"/>
      <x:c r="D103" s="117"/>
      <x:c r="E103" s="117"/>
      <x:c r="F103" s="117"/>
      <x:c r="G103" s="117"/>
      <x:c r="H103" s="117"/>
      <x:c r="I103" s="117"/>
      <x:c r="J103" s="118"/>
      <x:c r="K103" s="140"/>
      <x:c r="L103" s="137" t="str">
        <x:f>IF(OR(J103="",K103=""),"",(K103-J103)*1440)</x:f>
      </x:c>
      <x:c r="M103" s="149"/>
      <x:c r="N103" s="150"/>
      <x:c r="O103" s="150"/>
      <x:c r="P103" s="150"/>
      <x:c r="Q103" s="151"/>
      <x:c r="R103" s="148" t="str">
        <x:f>IF(OR(Q103="",'Setup &amp; Lists'!$B$8=""),"",Q103*'Setup &amp; Lists'!$B$8)</x:f>
      </x:c>
      <x:c r="S103" s="115"/>
      <x:c r="T103" s="117"/>
      <x:c r="U103" s="119"/>
    </x:row>
    <x:row r="104">
      <x:c r="A104" s="139"/>
      <x:c r="B104" s="117"/>
      <x:c r="C104" s="117"/>
      <x:c r="D104" s="117"/>
      <x:c r="E104" s="117"/>
      <x:c r="F104" s="117"/>
      <x:c r="G104" s="117"/>
      <x:c r="H104" s="117"/>
      <x:c r="I104" s="117"/>
      <x:c r="J104" s="118"/>
      <x:c r="K104" s="140"/>
      <x:c r="L104" s="137" t="str">
        <x:f>IF(OR(J104="",K104=""),"",(K104-J104)*1440)</x:f>
      </x:c>
      <x:c r="M104" s="149"/>
      <x:c r="N104" s="150"/>
      <x:c r="O104" s="150"/>
      <x:c r="P104" s="150"/>
      <x:c r="Q104" s="151"/>
      <x:c r="R104" s="148" t="str">
        <x:f>IF(OR(Q104="",'Setup &amp; Lists'!$B$8=""),"",Q104*'Setup &amp; Lists'!$B$8)</x:f>
      </x:c>
      <x:c r="S104" s="115"/>
      <x:c r="T104" s="117"/>
      <x:c r="U104" s="119"/>
    </x:row>
    <x:row r="105">
      <x:c r="A105" s="139"/>
      <x:c r="B105" s="117"/>
      <x:c r="C105" s="117"/>
      <x:c r="D105" s="117"/>
      <x:c r="E105" s="117"/>
      <x:c r="F105" s="117"/>
      <x:c r="G105" s="117"/>
      <x:c r="H105" s="117"/>
      <x:c r="I105" s="117"/>
      <x:c r="J105" s="118"/>
      <x:c r="K105" s="140"/>
      <x:c r="L105" s="137" t="str">
        <x:f>IF(OR(J105="",K105=""),"",(K105-J105)*1440)</x:f>
      </x:c>
      <x:c r="M105" s="149"/>
      <x:c r="N105" s="150"/>
      <x:c r="O105" s="150"/>
      <x:c r="P105" s="150"/>
      <x:c r="Q105" s="151"/>
      <x:c r="R105" s="148" t="str">
        <x:f>IF(OR(Q105="",'Setup &amp; Lists'!$B$8=""),"",Q105*'Setup &amp; Lists'!$B$8)</x:f>
      </x:c>
      <x:c r="S105" s="115"/>
      <x:c r="T105" s="117"/>
      <x:c r="U105" s="119"/>
    </x:row>
    <x:row r="106">
      <x:c r="A106" s="139"/>
      <x:c r="B106" s="117"/>
      <x:c r="C106" s="117"/>
      <x:c r="D106" s="117"/>
      <x:c r="E106" s="117"/>
      <x:c r="F106" s="117"/>
      <x:c r="G106" s="117"/>
      <x:c r="H106" s="117"/>
      <x:c r="I106" s="117"/>
      <x:c r="J106" s="118"/>
      <x:c r="K106" s="140"/>
      <x:c r="L106" s="137" t="str">
        <x:f>IF(OR(J106="",K106=""),"",(K106-J106)*1440)</x:f>
      </x:c>
      <x:c r="M106" s="149"/>
      <x:c r="N106" s="150"/>
      <x:c r="O106" s="150"/>
      <x:c r="P106" s="150"/>
      <x:c r="Q106" s="151"/>
      <x:c r="R106" s="148" t="str">
        <x:f>IF(OR(Q106="",'Setup &amp; Lists'!$B$8=""),"",Q106*'Setup &amp; Lists'!$B$8)</x:f>
      </x:c>
      <x:c r="S106" s="115"/>
      <x:c r="T106" s="117"/>
      <x:c r="U106" s="119"/>
    </x:row>
    <x:row r="107">
      <x:c r="A107" s="139"/>
      <x:c r="B107" s="117"/>
      <x:c r="C107" s="117"/>
      <x:c r="D107" s="117"/>
      <x:c r="E107" s="117"/>
      <x:c r="F107" s="117"/>
      <x:c r="G107" s="117"/>
      <x:c r="H107" s="117"/>
      <x:c r="I107" s="117"/>
      <x:c r="J107" s="118"/>
      <x:c r="K107" s="140"/>
      <x:c r="L107" s="137" t="str">
        <x:f>IF(OR(J107="",K107=""),"",(K107-J107)*1440)</x:f>
      </x:c>
      <x:c r="M107" s="149"/>
      <x:c r="N107" s="150"/>
      <x:c r="O107" s="150"/>
      <x:c r="P107" s="150"/>
      <x:c r="Q107" s="151"/>
      <x:c r="R107" s="148" t="str">
        <x:f>IF(OR(Q107="",'Setup &amp; Lists'!$B$8=""),"",Q107*'Setup &amp; Lists'!$B$8)</x:f>
      </x:c>
      <x:c r="S107" s="115"/>
      <x:c r="T107" s="117"/>
      <x:c r="U107" s="119"/>
    </x:row>
    <x:row r="108">
      <x:c r="A108" s="139"/>
      <x:c r="B108" s="117"/>
      <x:c r="C108" s="117"/>
      <x:c r="D108" s="117"/>
      <x:c r="E108" s="117"/>
      <x:c r="F108" s="117"/>
      <x:c r="G108" s="117"/>
      <x:c r="H108" s="117"/>
      <x:c r="I108" s="117"/>
      <x:c r="J108" s="118"/>
      <x:c r="K108" s="140"/>
      <x:c r="L108" s="137" t="str">
        <x:f>IF(OR(J108="",K108=""),"",(K108-J108)*1440)</x:f>
      </x:c>
      <x:c r="M108" s="149"/>
      <x:c r="N108" s="150"/>
      <x:c r="O108" s="150"/>
      <x:c r="P108" s="150"/>
      <x:c r="Q108" s="151"/>
      <x:c r="R108" s="148" t="str">
        <x:f>IF(OR(Q108="",'Setup &amp; Lists'!$B$8=""),"",Q108*'Setup &amp; Lists'!$B$8)</x:f>
      </x:c>
      <x:c r="S108" s="115"/>
      <x:c r="T108" s="117"/>
      <x:c r="U108" s="119"/>
    </x:row>
    <x:row r="109">
      <x:c r="A109" s="139"/>
      <x:c r="B109" s="117"/>
      <x:c r="C109" s="117"/>
      <x:c r="D109" s="117"/>
      <x:c r="E109" s="117"/>
      <x:c r="F109" s="117"/>
      <x:c r="G109" s="117"/>
      <x:c r="H109" s="117"/>
      <x:c r="I109" s="117"/>
      <x:c r="J109" s="118"/>
      <x:c r="K109" s="140"/>
      <x:c r="L109" s="137" t="str">
        <x:f>IF(OR(J109="",K109=""),"",(K109-J109)*1440)</x:f>
      </x:c>
      <x:c r="M109" s="149"/>
      <x:c r="N109" s="150"/>
      <x:c r="O109" s="150"/>
      <x:c r="P109" s="150"/>
      <x:c r="Q109" s="151"/>
      <x:c r="R109" s="148" t="str">
        <x:f>IF(OR(Q109="",'Setup &amp; Lists'!$B$8=""),"",Q109*'Setup &amp; Lists'!$B$8)</x:f>
      </x:c>
      <x:c r="S109" s="115"/>
      <x:c r="T109" s="117"/>
      <x:c r="U109" s="119"/>
    </x:row>
    <x:row r="110">
      <x:c r="A110" s="139"/>
      <x:c r="B110" s="117"/>
      <x:c r="C110" s="117"/>
      <x:c r="D110" s="117"/>
      <x:c r="E110" s="117"/>
      <x:c r="F110" s="117"/>
      <x:c r="G110" s="117"/>
      <x:c r="H110" s="117"/>
      <x:c r="I110" s="117"/>
      <x:c r="J110" s="118"/>
      <x:c r="K110" s="140"/>
      <x:c r="L110" s="137" t="str">
        <x:f>IF(OR(J110="",K110=""),"",(K110-J110)*1440)</x:f>
      </x:c>
      <x:c r="M110" s="149"/>
      <x:c r="N110" s="150"/>
      <x:c r="O110" s="150"/>
      <x:c r="P110" s="150"/>
      <x:c r="Q110" s="151"/>
      <x:c r="R110" s="148" t="str">
        <x:f>IF(OR(Q110="",'Setup &amp; Lists'!$B$8=""),"",Q110*'Setup &amp; Lists'!$B$8)</x:f>
      </x:c>
      <x:c r="S110" s="115"/>
      <x:c r="T110" s="117"/>
      <x:c r="U110" s="119"/>
    </x:row>
    <x:row r="111">
      <x:c r="A111" s="139"/>
      <x:c r="B111" s="117"/>
      <x:c r="C111" s="117"/>
      <x:c r="D111" s="117"/>
      <x:c r="E111" s="117"/>
      <x:c r="F111" s="117"/>
      <x:c r="G111" s="117"/>
      <x:c r="H111" s="117"/>
      <x:c r="I111" s="117"/>
      <x:c r="J111" s="118"/>
      <x:c r="K111" s="140"/>
      <x:c r="L111" s="137" t="str">
        <x:f>IF(OR(J111="",K111=""),"",(K111-J111)*1440)</x:f>
      </x:c>
      <x:c r="M111" s="149"/>
      <x:c r="N111" s="150"/>
      <x:c r="O111" s="150"/>
      <x:c r="P111" s="150"/>
      <x:c r="Q111" s="151"/>
      <x:c r="R111" s="148" t="str">
        <x:f>IF(OR(Q111="",'Setup &amp; Lists'!$B$8=""),"",Q111*'Setup &amp; Lists'!$B$8)</x:f>
      </x:c>
      <x:c r="S111" s="115"/>
      <x:c r="T111" s="117"/>
      <x:c r="U111" s="119"/>
    </x:row>
    <x:row r="112">
      <x:c r="A112" s="139"/>
      <x:c r="B112" s="117"/>
      <x:c r="C112" s="117"/>
      <x:c r="D112" s="117"/>
      <x:c r="E112" s="117"/>
      <x:c r="F112" s="117"/>
      <x:c r="G112" s="117"/>
      <x:c r="H112" s="117"/>
      <x:c r="I112" s="117"/>
      <x:c r="J112" s="118"/>
      <x:c r="K112" s="140"/>
      <x:c r="L112" s="137" t="str">
        <x:f>IF(OR(J112="",K112=""),"",(K112-J112)*1440)</x:f>
      </x:c>
      <x:c r="M112" s="149"/>
      <x:c r="N112" s="150"/>
      <x:c r="O112" s="150"/>
      <x:c r="P112" s="150"/>
      <x:c r="Q112" s="151"/>
      <x:c r="R112" s="148" t="str">
        <x:f>IF(OR(Q112="",'Setup &amp; Lists'!$B$8=""),"",Q112*'Setup &amp; Lists'!$B$8)</x:f>
      </x:c>
      <x:c r="S112" s="115"/>
      <x:c r="T112" s="117"/>
      <x:c r="U112" s="119"/>
    </x:row>
    <x:row r="113">
      <x:c r="A113" s="139"/>
      <x:c r="B113" s="117"/>
      <x:c r="C113" s="117"/>
      <x:c r="D113" s="117"/>
      <x:c r="E113" s="117"/>
      <x:c r="F113" s="117"/>
      <x:c r="G113" s="117"/>
      <x:c r="H113" s="117"/>
      <x:c r="I113" s="117"/>
      <x:c r="J113" s="118"/>
      <x:c r="K113" s="140"/>
      <x:c r="L113" s="137" t="str">
        <x:f>IF(OR(J113="",K113=""),"",(K113-J113)*1440)</x:f>
      </x:c>
      <x:c r="M113" s="149"/>
      <x:c r="N113" s="150"/>
      <x:c r="O113" s="150"/>
      <x:c r="P113" s="150"/>
      <x:c r="Q113" s="151"/>
      <x:c r="R113" s="148" t="str">
        <x:f>IF(OR(Q113="",'Setup &amp; Lists'!$B$8=""),"",Q113*'Setup &amp; Lists'!$B$8)</x:f>
      </x:c>
      <x:c r="S113" s="115"/>
      <x:c r="T113" s="117"/>
      <x:c r="U113" s="119"/>
    </x:row>
    <x:row r="114">
      <x:c r="A114" s="139"/>
      <x:c r="B114" s="117"/>
      <x:c r="C114" s="117"/>
      <x:c r="D114" s="117"/>
      <x:c r="E114" s="117"/>
      <x:c r="F114" s="117"/>
      <x:c r="G114" s="117"/>
      <x:c r="H114" s="117"/>
      <x:c r="I114" s="117"/>
      <x:c r="J114" s="118"/>
      <x:c r="K114" s="140"/>
      <x:c r="L114" s="137" t="str">
        <x:f>IF(OR(J114="",K114=""),"",(K114-J114)*1440)</x:f>
      </x:c>
      <x:c r="M114" s="149"/>
      <x:c r="N114" s="150"/>
      <x:c r="O114" s="150"/>
      <x:c r="P114" s="150"/>
      <x:c r="Q114" s="151"/>
      <x:c r="R114" s="148" t="str">
        <x:f>IF(OR(Q114="",'Setup &amp; Lists'!$B$8=""),"",Q114*'Setup &amp; Lists'!$B$8)</x:f>
      </x:c>
      <x:c r="S114" s="115"/>
      <x:c r="T114" s="117"/>
      <x:c r="U114" s="119"/>
    </x:row>
    <x:row r="115">
      <x:c r="A115" s="139"/>
      <x:c r="B115" s="117"/>
      <x:c r="C115" s="117"/>
      <x:c r="D115" s="117"/>
      <x:c r="E115" s="117"/>
      <x:c r="F115" s="117"/>
      <x:c r="G115" s="117"/>
      <x:c r="H115" s="117"/>
      <x:c r="I115" s="117"/>
      <x:c r="J115" s="118"/>
      <x:c r="K115" s="140"/>
      <x:c r="L115" s="137" t="str">
        <x:f>IF(OR(J115="",K115=""),"",(K115-J115)*1440)</x:f>
      </x:c>
      <x:c r="M115" s="149"/>
      <x:c r="N115" s="150"/>
      <x:c r="O115" s="150"/>
      <x:c r="P115" s="150"/>
      <x:c r="Q115" s="151"/>
      <x:c r="R115" s="148" t="str">
        <x:f>IF(OR(Q115="",'Setup &amp; Lists'!$B$8=""),"",Q115*'Setup &amp; Lists'!$B$8)</x:f>
      </x:c>
      <x:c r="S115" s="115"/>
      <x:c r="T115" s="117"/>
      <x:c r="U115" s="119"/>
    </x:row>
    <x:row r="116">
      <x:c r="A116" s="139"/>
      <x:c r="B116" s="117"/>
      <x:c r="C116" s="117"/>
      <x:c r="D116" s="117"/>
      <x:c r="E116" s="117"/>
      <x:c r="F116" s="117"/>
      <x:c r="G116" s="117"/>
      <x:c r="H116" s="117"/>
      <x:c r="I116" s="117"/>
      <x:c r="J116" s="118"/>
      <x:c r="K116" s="140"/>
      <x:c r="L116" s="137" t="str">
        <x:f>IF(OR(J116="",K116=""),"",(K116-J116)*1440)</x:f>
      </x:c>
      <x:c r="M116" s="149"/>
      <x:c r="N116" s="150"/>
      <x:c r="O116" s="150"/>
      <x:c r="P116" s="150"/>
      <x:c r="Q116" s="151"/>
      <x:c r="R116" s="148" t="str">
        <x:f>IF(OR(Q116="",'Setup &amp; Lists'!$B$8=""),"",Q116*'Setup &amp; Lists'!$B$8)</x:f>
      </x:c>
      <x:c r="S116" s="115"/>
      <x:c r="T116" s="117"/>
      <x:c r="U116" s="119"/>
    </x:row>
    <x:row r="117">
      <x:c r="A117" s="139"/>
      <x:c r="B117" s="117"/>
      <x:c r="C117" s="117"/>
      <x:c r="D117" s="117"/>
      <x:c r="E117" s="117"/>
      <x:c r="F117" s="117"/>
      <x:c r="G117" s="117"/>
      <x:c r="H117" s="117"/>
      <x:c r="I117" s="117"/>
      <x:c r="J117" s="118"/>
      <x:c r="K117" s="140"/>
      <x:c r="L117" s="137" t="str">
        <x:f>IF(OR(J117="",K117=""),"",(K117-J117)*1440)</x:f>
      </x:c>
      <x:c r="M117" s="149"/>
      <x:c r="N117" s="150"/>
      <x:c r="O117" s="150"/>
      <x:c r="P117" s="150"/>
      <x:c r="Q117" s="151"/>
      <x:c r="R117" s="148" t="str">
        <x:f>IF(OR(Q117="",'Setup &amp; Lists'!$B$8=""),"",Q117*'Setup &amp; Lists'!$B$8)</x:f>
      </x:c>
      <x:c r="S117" s="115"/>
      <x:c r="T117" s="117"/>
      <x:c r="U117" s="119"/>
    </x:row>
    <x:row r="118">
      <x:c r="A118" s="139"/>
      <x:c r="B118" s="117"/>
      <x:c r="C118" s="117"/>
      <x:c r="D118" s="117"/>
      <x:c r="E118" s="117"/>
      <x:c r="F118" s="117"/>
      <x:c r="G118" s="117"/>
      <x:c r="H118" s="117"/>
      <x:c r="I118" s="117"/>
      <x:c r="J118" s="118"/>
      <x:c r="K118" s="140"/>
      <x:c r="L118" s="137" t="str">
        <x:f>IF(OR(J118="",K118=""),"",(K118-J118)*1440)</x:f>
      </x:c>
      <x:c r="M118" s="149"/>
      <x:c r="N118" s="150"/>
      <x:c r="O118" s="150"/>
      <x:c r="P118" s="150"/>
      <x:c r="Q118" s="151"/>
      <x:c r="R118" s="148" t="str">
        <x:f>IF(OR(Q118="",'Setup &amp; Lists'!$B$8=""),"",Q118*'Setup &amp; Lists'!$B$8)</x:f>
      </x:c>
      <x:c r="S118" s="115"/>
      <x:c r="T118" s="117"/>
      <x:c r="U118" s="119"/>
    </x:row>
    <x:row r="119">
      <x:c r="A119" s="139"/>
      <x:c r="B119" s="117"/>
      <x:c r="C119" s="117"/>
      <x:c r="D119" s="117"/>
      <x:c r="E119" s="117"/>
      <x:c r="F119" s="117"/>
      <x:c r="G119" s="117"/>
      <x:c r="H119" s="117"/>
      <x:c r="I119" s="117"/>
      <x:c r="J119" s="118"/>
      <x:c r="K119" s="140"/>
      <x:c r="L119" s="137" t="str">
        <x:f>IF(OR(J119="",K119=""),"",(K119-J119)*1440)</x:f>
      </x:c>
      <x:c r="M119" s="149"/>
      <x:c r="N119" s="150"/>
      <x:c r="O119" s="150"/>
      <x:c r="P119" s="150"/>
      <x:c r="Q119" s="151"/>
      <x:c r="R119" s="148" t="str">
        <x:f>IF(OR(Q119="",'Setup &amp; Lists'!$B$8=""),"",Q119*'Setup &amp; Lists'!$B$8)</x:f>
      </x:c>
      <x:c r="S119" s="115"/>
      <x:c r="T119" s="117"/>
      <x:c r="U119" s="119"/>
    </x:row>
    <x:row r="120">
      <x:c r="A120" s="139"/>
      <x:c r="B120" s="117"/>
      <x:c r="C120" s="117"/>
      <x:c r="D120" s="117"/>
      <x:c r="E120" s="117"/>
      <x:c r="F120" s="117"/>
      <x:c r="G120" s="117"/>
      <x:c r="H120" s="117"/>
      <x:c r="I120" s="117"/>
      <x:c r="J120" s="118"/>
      <x:c r="K120" s="140"/>
      <x:c r="L120" s="137" t="str">
        <x:f>IF(OR(J120="",K120=""),"",(K120-J120)*1440)</x:f>
      </x:c>
      <x:c r="M120" s="149"/>
      <x:c r="N120" s="150"/>
      <x:c r="O120" s="150"/>
      <x:c r="P120" s="150"/>
      <x:c r="Q120" s="151"/>
      <x:c r="R120" s="148" t="str">
        <x:f>IF(OR(Q120="",'Setup &amp; Lists'!$B$8=""),"",Q120*'Setup &amp; Lists'!$B$8)</x:f>
      </x:c>
      <x:c r="S120" s="115"/>
      <x:c r="T120" s="117"/>
      <x:c r="U120" s="119"/>
    </x:row>
    <x:row r="121">
      <x:c r="A121" s="139"/>
      <x:c r="B121" s="117"/>
      <x:c r="C121" s="117"/>
      <x:c r="D121" s="117"/>
      <x:c r="E121" s="117"/>
      <x:c r="F121" s="117"/>
      <x:c r="G121" s="117"/>
      <x:c r="H121" s="117"/>
      <x:c r="I121" s="117"/>
      <x:c r="J121" s="118"/>
      <x:c r="K121" s="140"/>
      <x:c r="L121" s="137" t="str">
        <x:f>IF(OR(J121="",K121=""),"",(K121-J121)*1440)</x:f>
      </x:c>
      <x:c r="M121" s="149"/>
      <x:c r="N121" s="150"/>
      <x:c r="O121" s="150"/>
      <x:c r="P121" s="150"/>
      <x:c r="Q121" s="151"/>
      <x:c r="R121" s="148" t="str">
        <x:f>IF(OR(Q121="",'Setup &amp; Lists'!$B$8=""),"",Q121*'Setup &amp; Lists'!$B$8)</x:f>
      </x:c>
      <x:c r="S121" s="115"/>
      <x:c r="T121" s="117"/>
      <x:c r="U121" s="119"/>
    </x:row>
    <x:row r="122">
      <x:c r="A122" s="139"/>
      <x:c r="B122" s="117"/>
      <x:c r="C122" s="117"/>
      <x:c r="D122" s="117"/>
      <x:c r="E122" s="117"/>
      <x:c r="F122" s="117"/>
      <x:c r="G122" s="117"/>
      <x:c r="H122" s="117"/>
      <x:c r="I122" s="117"/>
      <x:c r="J122" s="118"/>
      <x:c r="K122" s="140"/>
      <x:c r="L122" s="137" t="str">
        <x:f>IF(OR(J122="",K122=""),"",(K122-J122)*1440)</x:f>
      </x:c>
      <x:c r="M122" s="149"/>
      <x:c r="N122" s="150"/>
      <x:c r="O122" s="150"/>
      <x:c r="P122" s="150"/>
      <x:c r="Q122" s="151"/>
      <x:c r="R122" s="148" t="str">
        <x:f>IF(OR(Q122="",'Setup &amp; Lists'!$B$8=""),"",Q122*'Setup &amp; Lists'!$B$8)</x:f>
      </x:c>
      <x:c r="S122" s="115"/>
      <x:c r="T122" s="117"/>
      <x:c r="U122" s="119"/>
    </x:row>
    <x:row r="123">
      <x:c r="A123" s="139"/>
      <x:c r="B123" s="117"/>
      <x:c r="C123" s="117"/>
      <x:c r="D123" s="117"/>
      <x:c r="E123" s="117"/>
      <x:c r="F123" s="117"/>
      <x:c r="G123" s="117"/>
      <x:c r="H123" s="117"/>
      <x:c r="I123" s="117"/>
      <x:c r="J123" s="118"/>
      <x:c r="K123" s="140"/>
      <x:c r="L123" s="137" t="str">
        <x:f>IF(OR(J123="",K123=""),"",(K123-J123)*1440)</x:f>
      </x:c>
      <x:c r="M123" s="149"/>
      <x:c r="N123" s="150"/>
      <x:c r="O123" s="150"/>
      <x:c r="P123" s="150"/>
      <x:c r="Q123" s="151"/>
      <x:c r="R123" s="148" t="str">
        <x:f>IF(OR(Q123="",'Setup &amp; Lists'!$B$8=""),"",Q123*'Setup &amp; Lists'!$B$8)</x:f>
      </x:c>
      <x:c r="S123" s="115"/>
      <x:c r="T123" s="117"/>
      <x:c r="U123" s="119"/>
    </x:row>
    <x:row r="124">
      <x:c r="A124" s="139"/>
      <x:c r="B124" s="117"/>
      <x:c r="C124" s="117"/>
      <x:c r="D124" s="117"/>
      <x:c r="E124" s="117"/>
      <x:c r="F124" s="117"/>
      <x:c r="G124" s="117"/>
      <x:c r="H124" s="117"/>
      <x:c r="I124" s="117"/>
      <x:c r="J124" s="118"/>
      <x:c r="K124" s="140"/>
      <x:c r="L124" s="137" t="str">
        <x:f>IF(OR(J124="",K124=""),"",(K124-J124)*1440)</x:f>
      </x:c>
      <x:c r="M124" s="149"/>
      <x:c r="N124" s="150"/>
      <x:c r="O124" s="150"/>
      <x:c r="P124" s="150"/>
      <x:c r="Q124" s="151"/>
      <x:c r="R124" s="148" t="str">
        <x:f>IF(OR(Q124="",'Setup &amp; Lists'!$B$8=""),"",Q124*'Setup &amp; Lists'!$B$8)</x:f>
      </x:c>
      <x:c r="S124" s="115"/>
      <x:c r="T124" s="117"/>
      <x:c r="U124" s="119"/>
    </x:row>
    <x:row r="125">
      <x:c r="A125" s="139"/>
      <x:c r="B125" s="117"/>
      <x:c r="C125" s="117"/>
      <x:c r="D125" s="117"/>
      <x:c r="E125" s="117"/>
      <x:c r="F125" s="117"/>
      <x:c r="G125" s="117"/>
      <x:c r="H125" s="117"/>
      <x:c r="I125" s="117"/>
      <x:c r="J125" s="118"/>
      <x:c r="K125" s="140"/>
      <x:c r="L125" s="137" t="str">
        <x:f>IF(OR(J125="",K125=""),"",(K125-J125)*1440)</x:f>
      </x:c>
      <x:c r="M125" s="149"/>
      <x:c r="N125" s="150"/>
      <x:c r="O125" s="150"/>
      <x:c r="P125" s="150"/>
      <x:c r="Q125" s="151"/>
      <x:c r="R125" s="148" t="str">
        <x:f>IF(OR(Q125="",'Setup &amp; Lists'!$B$8=""),"",Q125*'Setup &amp; Lists'!$B$8)</x:f>
      </x:c>
      <x:c r="S125" s="115"/>
      <x:c r="T125" s="117"/>
      <x:c r="U125" s="119"/>
    </x:row>
    <x:row r="126">
      <x:c r="A126" s="139"/>
      <x:c r="B126" s="117"/>
      <x:c r="C126" s="117"/>
      <x:c r="D126" s="117"/>
      <x:c r="E126" s="117"/>
      <x:c r="F126" s="117"/>
      <x:c r="G126" s="117"/>
      <x:c r="H126" s="117"/>
      <x:c r="I126" s="117"/>
      <x:c r="J126" s="118"/>
      <x:c r="K126" s="140"/>
      <x:c r="L126" s="137" t="str">
        <x:f>IF(OR(J126="",K126=""),"",(K126-J126)*1440)</x:f>
      </x:c>
      <x:c r="M126" s="149"/>
      <x:c r="N126" s="150"/>
      <x:c r="O126" s="150"/>
      <x:c r="P126" s="150"/>
      <x:c r="Q126" s="151"/>
      <x:c r="R126" s="148" t="str">
        <x:f>IF(OR(Q126="",'Setup &amp; Lists'!$B$8=""),"",Q126*'Setup &amp; Lists'!$B$8)</x:f>
      </x:c>
      <x:c r="S126" s="115"/>
      <x:c r="T126" s="117"/>
      <x:c r="U126" s="119"/>
    </x:row>
    <x:row r="127">
      <x:c r="A127" s="139"/>
      <x:c r="B127" s="117"/>
      <x:c r="C127" s="117"/>
      <x:c r="D127" s="117"/>
      <x:c r="E127" s="117"/>
      <x:c r="F127" s="117"/>
      <x:c r="G127" s="117"/>
      <x:c r="H127" s="117"/>
      <x:c r="I127" s="117"/>
      <x:c r="J127" s="118"/>
      <x:c r="K127" s="140"/>
      <x:c r="L127" s="137" t="str">
        <x:f>IF(OR(J127="",K127=""),"",(K127-J127)*1440)</x:f>
      </x:c>
      <x:c r="M127" s="149"/>
      <x:c r="N127" s="150"/>
      <x:c r="O127" s="150"/>
      <x:c r="P127" s="150"/>
      <x:c r="Q127" s="151"/>
      <x:c r="R127" s="148" t="str">
        <x:f>IF(OR(Q127="",'Setup &amp; Lists'!$B$8=""),"",Q127*'Setup &amp; Lists'!$B$8)</x:f>
      </x:c>
      <x:c r="S127" s="115"/>
      <x:c r="T127" s="117"/>
      <x:c r="U127" s="119"/>
    </x:row>
    <x:row r="128">
      <x:c r="A128" s="139"/>
      <x:c r="B128" s="117"/>
      <x:c r="C128" s="117"/>
      <x:c r="D128" s="117"/>
      <x:c r="E128" s="117"/>
      <x:c r="F128" s="117"/>
      <x:c r="G128" s="117"/>
      <x:c r="H128" s="117"/>
      <x:c r="I128" s="117"/>
      <x:c r="J128" s="118"/>
      <x:c r="K128" s="140"/>
      <x:c r="L128" s="137" t="str">
        <x:f>IF(OR(J128="",K128=""),"",(K128-J128)*1440)</x:f>
      </x:c>
      <x:c r="M128" s="149"/>
      <x:c r="N128" s="150"/>
      <x:c r="O128" s="150"/>
      <x:c r="P128" s="150"/>
      <x:c r="Q128" s="151"/>
      <x:c r="R128" s="148" t="str">
        <x:f>IF(OR(Q128="",'Setup &amp; Lists'!$B$8=""),"",Q128*'Setup &amp; Lists'!$B$8)</x:f>
      </x:c>
      <x:c r="S128" s="115"/>
      <x:c r="T128" s="117"/>
      <x:c r="U128" s="119"/>
    </x:row>
    <x:row r="129">
      <x:c r="A129" s="139"/>
      <x:c r="B129" s="117"/>
      <x:c r="C129" s="117"/>
      <x:c r="D129" s="117"/>
      <x:c r="E129" s="117"/>
      <x:c r="F129" s="117"/>
      <x:c r="G129" s="117"/>
      <x:c r="H129" s="117"/>
      <x:c r="I129" s="117"/>
      <x:c r="J129" s="118"/>
      <x:c r="K129" s="140"/>
      <x:c r="L129" s="137" t="str">
        <x:f>IF(OR(J129="",K129=""),"",(K129-J129)*1440)</x:f>
      </x:c>
      <x:c r="M129" s="149"/>
      <x:c r="N129" s="150"/>
      <x:c r="O129" s="150"/>
      <x:c r="P129" s="150"/>
      <x:c r="Q129" s="151"/>
      <x:c r="R129" s="148" t="str">
        <x:f>IF(OR(Q129="",'Setup &amp; Lists'!$B$8=""),"",Q129*'Setup &amp; Lists'!$B$8)</x:f>
      </x:c>
      <x:c r="S129" s="115"/>
      <x:c r="T129" s="117"/>
      <x:c r="U129" s="119"/>
    </x:row>
    <x:row r="130">
      <x:c r="A130" s="139"/>
      <x:c r="B130" s="117"/>
      <x:c r="C130" s="117"/>
      <x:c r="D130" s="117"/>
      <x:c r="E130" s="117"/>
      <x:c r="F130" s="117"/>
      <x:c r="G130" s="117"/>
      <x:c r="H130" s="117"/>
      <x:c r="I130" s="117"/>
      <x:c r="J130" s="118"/>
      <x:c r="K130" s="140"/>
      <x:c r="L130" s="137" t="str">
        <x:f>IF(OR(J130="",K130=""),"",(K130-J130)*1440)</x:f>
      </x:c>
      <x:c r="M130" s="149"/>
      <x:c r="N130" s="150"/>
      <x:c r="O130" s="150"/>
      <x:c r="P130" s="150"/>
      <x:c r="Q130" s="151"/>
      <x:c r="R130" s="148" t="str">
        <x:f>IF(OR(Q130="",'Setup &amp; Lists'!$B$8=""),"",Q130*'Setup &amp; Lists'!$B$8)</x:f>
      </x:c>
      <x:c r="S130" s="115"/>
      <x:c r="T130" s="117"/>
      <x:c r="U130" s="119"/>
    </x:row>
    <x:row r="131">
      <x:c r="A131" s="139"/>
      <x:c r="B131" s="117"/>
      <x:c r="C131" s="117"/>
      <x:c r="D131" s="117"/>
      <x:c r="E131" s="117"/>
      <x:c r="F131" s="117"/>
      <x:c r="G131" s="117"/>
      <x:c r="H131" s="117"/>
      <x:c r="I131" s="117"/>
      <x:c r="J131" s="118"/>
      <x:c r="K131" s="140"/>
      <x:c r="L131" s="137" t="str">
        <x:f>IF(OR(J131="",K131=""),"",(K131-J131)*1440)</x:f>
      </x:c>
      <x:c r="M131" s="149"/>
      <x:c r="N131" s="150"/>
      <x:c r="O131" s="150"/>
      <x:c r="P131" s="150"/>
      <x:c r="Q131" s="151"/>
      <x:c r="R131" s="148" t="str">
        <x:f>IF(OR(Q131="",'Setup &amp; Lists'!$B$8=""),"",Q131*'Setup &amp; Lists'!$B$8)</x:f>
      </x:c>
      <x:c r="S131" s="115"/>
      <x:c r="T131" s="117"/>
      <x:c r="U131" s="119"/>
    </x:row>
    <x:row r="132">
      <x:c r="A132" s="139"/>
      <x:c r="B132" s="117"/>
      <x:c r="C132" s="117"/>
      <x:c r="D132" s="117"/>
      <x:c r="E132" s="117"/>
      <x:c r="F132" s="117"/>
      <x:c r="G132" s="117"/>
      <x:c r="H132" s="117"/>
      <x:c r="I132" s="117"/>
      <x:c r="J132" s="118"/>
      <x:c r="K132" s="140"/>
      <x:c r="L132" s="137" t="str">
        <x:f>IF(OR(J132="",K132=""),"",(K132-J132)*1440)</x:f>
      </x:c>
      <x:c r="M132" s="149"/>
      <x:c r="N132" s="150"/>
      <x:c r="O132" s="150"/>
      <x:c r="P132" s="150"/>
      <x:c r="Q132" s="151"/>
      <x:c r="R132" s="148" t="str">
        <x:f>IF(OR(Q132="",'Setup &amp; Lists'!$B$8=""),"",Q132*'Setup &amp; Lists'!$B$8)</x:f>
      </x:c>
      <x:c r="S132" s="115"/>
      <x:c r="T132" s="117"/>
      <x:c r="U132" s="119"/>
    </x:row>
    <x:row r="133">
      <x:c r="A133" s="139"/>
      <x:c r="B133" s="117"/>
      <x:c r="C133" s="117"/>
      <x:c r="D133" s="117"/>
      <x:c r="E133" s="117"/>
      <x:c r="F133" s="117"/>
      <x:c r="G133" s="117"/>
      <x:c r="H133" s="117"/>
      <x:c r="I133" s="117"/>
      <x:c r="J133" s="118"/>
      <x:c r="K133" s="140"/>
      <x:c r="L133" s="137" t="str">
        <x:f>IF(OR(J133="",K133=""),"",(K133-J133)*1440)</x:f>
      </x:c>
      <x:c r="M133" s="149"/>
      <x:c r="N133" s="150"/>
      <x:c r="O133" s="150"/>
      <x:c r="P133" s="150"/>
      <x:c r="Q133" s="151"/>
      <x:c r="R133" s="148" t="str">
        <x:f>IF(OR(Q133="",'Setup &amp; Lists'!$B$8=""),"",Q133*'Setup &amp; Lists'!$B$8)</x:f>
      </x:c>
      <x:c r="S133" s="115"/>
      <x:c r="T133" s="117"/>
      <x:c r="U133" s="119"/>
    </x:row>
    <x:row r="134">
      <x:c r="A134" s="139"/>
      <x:c r="B134" s="117"/>
      <x:c r="C134" s="117"/>
      <x:c r="D134" s="117"/>
      <x:c r="E134" s="117"/>
      <x:c r="F134" s="117"/>
      <x:c r="G134" s="117"/>
      <x:c r="H134" s="117"/>
      <x:c r="I134" s="117"/>
      <x:c r="J134" s="118"/>
      <x:c r="K134" s="140"/>
      <x:c r="L134" s="137" t="str">
        <x:f>IF(OR(J134="",K134=""),"",(K134-J134)*1440)</x:f>
      </x:c>
      <x:c r="M134" s="149"/>
      <x:c r="N134" s="150"/>
      <x:c r="O134" s="150"/>
      <x:c r="P134" s="150"/>
      <x:c r="Q134" s="151"/>
      <x:c r="R134" s="148" t="str">
        <x:f>IF(OR(Q134="",'Setup &amp; Lists'!$B$8=""),"",Q134*'Setup &amp; Lists'!$B$8)</x:f>
      </x:c>
      <x:c r="S134" s="115"/>
      <x:c r="T134" s="117"/>
      <x:c r="U134" s="119"/>
    </x:row>
    <x:row r="135">
      <x:c r="A135" s="139"/>
      <x:c r="B135" s="117"/>
      <x:c r="C135" s="117"/>
      <x:c r="D135" s="117"/>
      <x:c r="E135" s="117"/>
      <x:c r="F135" s="117"/>
      <x:c r="G135" s="117"/>
      <x:c r="H135" s="117"/>
      <x:c r="I135" s="117"/>
      <x:c r="J135" s="118"/>
      <x:c r="K135" s="140"/>
      <x:c r="L135" s="137" t="str">
        <x:f>IF(OR(J135="",K135=""),"",(K135-J135)*1440)</x:f>
      </x:c>
      <x:c r="M135" s="149"/>
      <x:c r="N135" s="150"/>
      <x:c r="O135" s="150"/>
      <x:c r="P135" s="150"/>
      <x:c r="Q135" s="151"/>
      <x:c r="R135" s="148" t="str">
        <x:f>IF(OR(Q135="",'Setup &amp; Lists'!$B$8=""),"",Q135*'Setup &amp; Lists'!$B$8)</x:f>
      </x:c>
      <x:c r="S135" s="115"/>
      <x:c r="T135" s="117"/>
      <x:c r="U135" s="119"/>
    </x:row>
    <x:row r="136">
      <x:c r="A136" s="139"/>
      <x:c r="B136" s="117"/>
      <x:c r="C136" s="117"/>
      <x:c r="D136" s="117"/>
      <x:c r="E136" s="117"/>
      <x:c r="F136" s="117"/>
      <x:c r="G136" s="117"/>
      <x:c r="H136" s="117"/>
      <x:c r="I136" s="117"/>
      <x:c r="J136" s="118"/>
      <x:c r="K136" s="140"/>
      <x:c r="L136" s="137" t="str">
        <x:f>IF(OR(J136="",K136=""),"",(K136-J136)*1440)</x:f>
      </x:c>
      <x:c r="M136" s="149"/>
      <x:c r="N136" s="150"/>
      <x:c r="O136" s="150"/>
      <x:c r="P136" s="150"/>
      <x:c r="Q136" s="151"/>
      <x:c r="R136" s="148" t="str">
        <x:f>IF(OR(Q136="",'Setup &amp; Lists'!$B$8=""),"",Q136*'Setup &amp; Lists'!$B$8)</x:f>
      </x:c>
      <x:c r="S136" s="115"/>
      <x:c r="T136" s="117"/>
      <x:c r="U136" s="119"/>
    </x:row>
    <x:row r="137">
      <x:c r="A137" s="139"/>
      <x:c r="B137" s="117"/>
      <x:c r="C137" s="117"/>
      <x:c r="D137" s="117"/>
      <x:c r="E137" s="117"/>
      <x:c r="F137" s="117"/>
      <x:c r="G137" s="117"/>
      <x:c r="H137" s="117"/>
      <x:c r="I137" s="117"/>
      <x:c r="J137" s="118"/>
      <x:c r="K137" s="140"/>
      <x:c r="L137" s="137" t="str">
        <x:f>IF(OR(J137="",K137=""),"",(K137-J137)*1440)</x:f>
      </x:c>
      <x:c r="M137" s="149"/>
      <x:c r="N137" s="150"/>
      <x:c r="O137" s="150"/>
      <x:c r="P137" s="150"/>
      <x:c r="Q137" s="151"/>
      <x:c r="R137" s="148" t="str">
        <x:f>IF(OR(Q137="",'Setup &amp; Lists'!$B$8=""),"",Q137*'Setup &amp; Lists'!$B$8)</x:f>
      </x:c>
      <x:c r="S137" s="115"/>
      <x:c r="T137" s="117"/>
      <x:c r="U137" s="119"/>
    </x:row>
    <x:row r="138">
      <x:c r="A138" s="139"/>
      <x:c r="B138" s="117"/>
      <x:c r="C138" s="117"/>
      <x:c r="D138" s="117"/>
      <x:c r="E138" s="117"/>
      <x:c r="F138" s="117"/>
      <x:c r="G138" s="117"/>
      <x:c r="H138" s="117"/>
      <x:c r="I138" s="117"/>
      <x:c r="J138" s="118"/>
      <x:c r="K138" s="140"/>
      <x:c r="L138" s="137" t="str">
        <x:f>IF(OR(J138="",K138=""),"",(K138-J138)*1440)</x:f>
      </x:c>
      <x:c r="M138" s="149"/>
      <x:c r="N138" s="150"/>
      <x:c r="O138" s="150"/>
      <x:c r="P138" s="150"/>
      <x:c r="Q138" s="151"/>
      <x:c r="R138" s="148" t="str">
        <x:f>IF(OR(Q138="",'Setup &amp; Lists'!$B$8=""),"",Q138*'Setup &amp; Lists'!$B$8)</x:f>
      </x:c>
      <x:c r="S138" s="115"/>
      <x:c r="T138" s="117"/>
      <x:c r="U138" s="119"/>
    </x:row>
    <x:row r="139">
      <x:c r="A139" s="139"/>
      <x:c r="B139" s="117"/>
      <x:c r="C139" s="117"/>
      <x:c r="D139" s="117"/>
      <x:c r="E139" s="117"/>
      <x:c r="F139" s="117"/>
      <x:c r="G139" s="117"/>
      <x:c r="H139" s="117"/>
      <x:c r="I139" s="117"/>
      <x:c r="J139" s="118"/>
      <x:c r="K139" s="140"/>
      <x:c r="L139" s="137" t="str">
        <x:f>IF(OR(J139="",K139=""),"",(K139-J139)*1440)</x:f>
      </x:c>
      <x:c r="M139" s="149"/>
      <x:c r="N139" s="150"/>
      <x:c r="O139" s="150"/>
      <x:c r="P139" s="150"/>
      <x:c r="Q139" s="151"/>
      <x:c r="R139" s="148" t="str">
        <x:f>IF(OR(Q139="",'Setup &amp; Lists'!$B$8=""),"",Q139*'Setup &amp; Lists'!$B$8)</x:f>
      </x:c>
      <x:c r="S139" s="115"/>
      <x:c r="T139" s="117"/>
      <x:c r="U139" s="119"/>
    </x:row>
    <x:row r="140">
      <x:c r="A140" s="139"/>
      <x:c r="B140" s="117"/>
      <x:c r="C140" s="117"/>
      <x:c r="D140" s="117"/>
      <x:c r="E140" s="117"/>
      <x:c r="F140" s="117"/>
      <x:c r="G140" s="117"/>
      <x:c r="H140" s="117"/>
      <x:c r="I140" s="117"/>
      <x:c r="J140" s="118"/>
      <x:c r="K140" s="140"/>
      <x:c r="L140" s="137" t="str">
        <x:f>IF(OR(J140="",K140=""),"",(K140-J140)*1440)</x:f>
      </x:c>
      <x:c r="M140" s="149"/>
      <x:c r="N140" s="150"/>
      <x:c r="O140" s="150"/>
      <x:c r="P140" s="150"/>
      <x:c r="Q140" s="151"/>
      <x:c r="R140" s="148" t="str">
        <x:f>IF(OR(Q140="",'Setup &amp; Lists'!$B$8=""),"",Q140*'Setup &amp; Lists'!$B$8)</x:f>
      </x:c>
      <x:c r="S140" s="115"/>
      <x:c r="T140" s="117"/>
      <x:c r="U140" s="119"/>
    </x:row>
    <x:row r="141">
      <x:c r="A141" s="139"/>
      <x:c r="B141" s="117"/>
      <x:c r="C141" s="117"/>
      <x:c r="D141" s="117"/>
      <x:c r="E141" s="117"/>
      <x:c r="F141" s="117"/>
      <x:c r="G141" s="117"/>
      <x:c r="H141" s="117"/>
      <x:c r="I141" s="117"/>
      <x:c r="J141" s="118"/>
      <x:c r="K141" s="140"/>
      <x:c r="L141" s="137" t="str">
        <x:f>IF(OR(J141="",K141=""),"",(K141-J141)*1440)</x:f>
      </x:c>
      <x:c r="M141" s="149"/>
      <x:c r="N141" s="150"/>
      <x:c r="O141" s="150"/>
      <x:c r="P141" s="150"/>
      <x:c r="Q141" s="151"/>
      <x:c r="R141" s="148" t="str">
        <x:f>IF(OR(Q141="",'Setup &amp; Lists'!$B$8=""),"",Q141*'Setup &amp; Lists'!$B$8)</x:f>
      </x:c>
      <x:c r="S141" s="115"/>
      <x:c r="T141" s="117"/>
      <x:c r="U141" s="119"/>
    </x:row>
    <x:row r="142">
      <x:c r="A142" s="139"/>
      <x:c r="B142" s="117"/>
      <x:c r="C142" s="117"/>
      <x:c r="D142" s="117"/>
      <x:c r="E142" s="117"/>
      <x:c r="F142" s="117"/>
      <x:c r="G142" s="117"/>
      <x:c r="H142" s="117"/>
      <x:c r="I142" s="117"/>
      <x:c r="J142" s="118"/>
      <x:c r="K142" s="140"/>
      <x:c r="L142" s="137" t="str">
        <x:f>IF(OR(J142="",K142=""),"",(K142-J142)*1440)</x:f>
      </x:c>
      <x:c r="M142" s="149"/>
      <x:c r="N142" s="150"/>
      <x:c r="O142" s="150"/>
      <x:c r="P142" s="150"/>
      <x:c r="Q142" s="151"/>
      <x:c r="R142" s="148" t="str">
        <x:f>IF(OR(Q142="",'Setup &amp; Lists'!$B$8=""),"",Q142*'Setup &amp; Lists'!$B$8)</x:f>
      </x:c>
      <x:c r="S142" s="115"/>
      <x:c r="T142" s="117"/>
      <x:c r="U142" s="119"/>
    </x:row>
    <x:row r="143">
      <x:c r="A143" s="139"/>
      <x:c r="B143" s="117"/>
      <x:c r="C143" s="117"/>
      <x:c r="D143" s="117"/>
      <x:c r="E143" s="117"/>
      <x:c r="F143" s="117"/>
      <x:c r="G143" s="117"/>
      <x:c r="H143" s="117"/>
      <x:c r="I143" s="117"/>
      <x:c r="J143" s="118"/>
      <x:c r="K143" s="140"/>
      <x:c r="L143" s="137" t="str">
        <x:f>IF(OR(J143="",K143=""),"",(K143-J143)*1440)</x:f>
      </x:c>
      <x:c r="M143" s="149"/>
      <x:c r="N143" s="150"/>
      <x:c r="O143" s="150"/>
      <x:c r="P143" s="150"/>
      <x:c r="Q143" s="151"/>
      <x:c r="R143" s="148" t="str">
        <x:f>IF(OR(Q143="",'Setup &amp; Lists'!$B$8=""),"",Q143*'Setup &amp; Lists'!$B$8)</x:f>
      </x:c>
      <x:c r="S143" s="115"/>
      <x:c r="T143" s="117"/>
      <x:c r="U143" s="119"/>
    </x:row>
    <x:row r="144">
      <x:c r="A144" s="139"/>
      <x:c r="B144" s="117"/>
      <x:c r="C144" s="117"/>
      <x:c r="D144" s="117"/>
      <x:c r="E144" s="117"/>
      <x:c r="F144" s="117"/>
      <x:c r="G144" s="117"/>
      <x:c r="H144" s="117"/>
      <x:c r="I144" s="117"/>
      <x:c r="J144" s="118"/>
      <x:c r="K144" s="140"/>
      <x:c r="L144" s="137" t="str">
        <x:f>IF(OR(J144="",K144=""),"",(K144-J144)*1440)</x:f>
      </x:c>
      <x:c r="M144" s="149"/>
      <x:c r="N144" s="150"/>
      <x:c r="O144" s="150"/>
      <x:c r="P144" s="150"/>
      <x:c r="Q144" s="151"/>
      <x:c r="R144" s="148" t="str">
        <x:f>IF(OR(Q144="",'Setup &amp; Lists'!$B$8=""),"",Q144*'Setup &amp; Lists'!$B$8)</x:f>
      </x:c>
      <x:c r="S144" s="115"/>
      <x:c r="T144" s="117"/>
      <x:c r="U144" s="119"/>
    </x:row>
    <x:row r="145">
      <x:c r="A145" s="139"/>
      <x:c r="B145" s="117"/>
      <x:c r="C145" s="117"/>
      <x:c r="D145" s="117"/>
      <x:c r="E145" s="117"/>
      <x:c r="F145" s="117"/>
      <x:c r="G145" s="117"/>
      <x:c r="H145" s="117"/>
      <x:c r="I145" s="117"/>
      <x:c r="J145" s="118"/>
      <x:c r="K145" s="140"/>
      <x:c r="L145" s="137" t="str">
        <x:f>IF(OR(J145="",K145=""),"",(K145-J145)*1440)</x:f>
      </x:c>
      <x:c r="M145" s="149"/>
      <x:c r="N145" s="150"/>
      <x:c r="O145" s="150"/>
      <x:c r="P145" s="150"/>
      <x:c r="Q145" s="151"/>
      <x:c r="R145" s="148" t="str">
        <x:f>IF(OR(Q145="",'Setup &amp; Lists'!$B$8=""),"",Q145*'Setup &amp; Lists'!$B$8)</x:f>
      </x:c>
      <x:c r="S145" s="115"/>
      <x:c r="T145" s="117"/>
      <x:c r="U145" s="119"/>
    </x:row>
    <x:row r="146">
      <x:c r="A146" s="139"/>
      <x:c r="B146" s="117"/>
      <x:c r="C146" s="117"/>
      <x:c r="D146" s="117"/>
      <x:c r="E146" s="117"/>
      <x:c r="F146" s="117"/>
      <x:c r="G146" s="117"/>
      <x:c r="H146" s="117"/>
      <x:c r="I146" s="117"/>
      <x:c r="J146" s="118"/>
      <x:c r="K146" s="140"/>
      <x:c r="L146" s="137" t="str">
        <x:f>IF(OR(J146="",K146=""),"",(K146-J146)*1440)</x:f>
      </x:c>
      <x:c r="M146" s="149"/>
      <x:c r="N146" s="150"/>
      <x:c r="O146" s="150"/>
      <x:c r="P146" s="150"/>
      <x:c r="Q146" s="151"/>
      <x:c r="R146" s="148" t="str">
        <x:f>IF(OR(Q146="",'Setup &amp; Lists'!$B$8=""),"",Q146*'Setup &amp; Lists'!$B$8)</x:f>
      </x:c>
      <x:c r="S146" s="115"/>
      <x:c r="T146" s="117"/>
      <x:c r="U146" s="119"/>
    </x:row>
    <x:row r="147">
      <x:c r="A147" s="139"/>
      <x:c r="B147" s="117"/>
      <x:c r="C147" s="117"/>
      <x:c r="D147" s="117"/>
      <x:c r="E147" s="117"/>
      <x:c r="F147" s="117"/>
      <x:c r="G147" s="117"/>
      <x:c r="H147" s="117"/>
      <x:c r="I147" s="117"/>
      <x:c r="J147" s="118"/>
      <x:c r="K147" s="140"/>
      <x:c r="L147" s="137" t="str">
        <x:f>IF(OR(J147="",K147=""),"",(K147-J147)*1440)</x:f>
      </x:c>
      <x:c r="M147" s="149"/>
      <x:c r="N147" s="150"/>
      <x:c r="O147" s="150"/>
      <x:c r="P147" s="150"/>
      <x:c r="Q147" s="151"/>
      <x:c r="R147" s="148" t="str">
        <x:f>IF(OR(Q147="",'Setup &amp; Lists'!$B$8=""),"",Q147*'Setup &amp; Lists'!$B$8)</x:f>
      </x:c>
      <x:c r="S147" s="115"/>
      <x:c r="T147" s="117"/>
      <x:c r="U147" s="119"/>
    </x:row>
    <x:row r="148">
      <x:c r="A148" s="139"/>
      <x:c r="B148" s="117"/>
      <x:c r="C148" s="117"/>
      <x:c r="D148" s="117"/>
      <x:c r="E148" s="117"/>
      <x:c r="F148" s="117"/>
      <x:c r="G148" s="117"/>
      <x:c r="H148" s="117"/>
      <x:c r="I148" s="117"/>
      <x:c r="J148" s="118"/>
      <x:c r="K148" s="140"/>
      <x:c r="L148" s="137" t="str">
        <x:f>IF(OR(J148="",K148=""),"",(K148-J148)*1440)</x:f>
      </x:c>
      <x:c r="M148" s="149"/>
      <x:c r="N148" s="150"/>
      <x:c r="O148" s="150"/>
      <x:c r="P148" s="150"/>
      <x:c r="Q148" s="151"/>
      <x:c r="R148" s="148" t="str">
        <x:f>IF(OR(Q148="",'Setup &amp; Lists'!$B$8=""),"",Q148*'Setup &amp; Lists'!$B$8)</x:f>
      </x:c>
      <x:c r="S148" s="115"/>
      <x:c r="T148" s="117"/>
      <x:c r="U148" s="119"/>
    </x:row>
    <x:row r="149">
      <x:c r="A149" s="139"/>
      <x:c r="B149" s="117"/>
      <x:c r="C149" s="117"/>
      <x:c r="D149" s="117"/>
      <x:c r="E149" s="117"/>
      <x:c r="F149" s="117"/>
      <x:c r="G149" s="117"/>
      <x:c r="H149" s="117"/>
      <x:c r="I149" s="117"/>
      <x:c r="J149" s="118"/>
      <x:c r="K149" s="140"/>
      <x:c r="L149" s="137" t="str">
        <x:f>IF(OR(J149="",K149=""),"",(K149-J149)*1440)</x:f>
      </x:c>
      <x:c r="M149" s="149"/>
      <x:c r="N149" s="150"/>
      <x:c r="O149" s="150"/>
      <x:c r="P149" s="150"/>
      <x:c r="Q149" s="151"/>
      <x:c r="R149" s="148" t="str">
        <x:f>IF(OR(Q149="",'Setup &amp; Lists'!$B$8=""),"",Q149*'Setup &amp; Lists'!$B$8)</x:f>
      </x:c>
      <x:c r="S149" s="115"/>
      <x:c r="T149" s="117"/>
      <x:c r="U149" s="119"/>
    </x:row>
    <x:row r="150">
      <x:c r="A150" s="139"/>
      <x:c r="B150" s="117"/>
      <x:c r="C150" s="117"/>
      <x:c r="D150" s="117"/>
      <x:c r="E150" s="117"/>
      <x:c r="F150" s="117"/>
      <x:c r="G150" s="117"/>
      <x:c r="H150" s="117"/>
      <x:c r="I150" s="117"/>
      <x:c r="J150" s="118"/>
      <x:c r="K150" s="140"/>
      <x:c r="L150" s="137" t="str">
        <x:f>IF(OR(J150="",K150=""),"",(K150-J150)*1440)</x:f>
      </x:c>
      <x:c r="M150" s="149"/>
      <x:c r="N150" s="150"/>
      <x:c r="O150" s="150"/>
      <x:c r="P150" s="150"/>
      <x:c r="Q150" s="151"/>
      <x:c r="R150" s="148" t="str">
        <x:f>IF(OR(Q150="",'Setup &amp; Lists'!$B$8=""),"",Q150*'Setup &amp; Lists'!$B$8)</x:f>
      </x:c>
      <x:c r="S150" s="115"/>
      <x:c r="T150" s="117"/>
      <x:c r="U150" s="119"/>
    </x:row>
    <x:row r="151">
      <x:c r="A151" s="139"/>
      <x:c r="B151" s="117"/>
      <x:c r="C151" s="117"/>
      <x:c r="D151" s="117"/>
      <x:c r="E151" s="117"/>
      <x:c r="F151" s="117"/>
      <x:c r="G151" s="117"/>
      <x:c r="H151" s="117"/>
      <x:c r="I151" s="117"/>
      <x:c r="J151" s="118"/>
      <x:c r="K151" s="140"/>
      <x:c r="L151" s="137" t="str">
        <x:f>IF(OR(J151="",K151=""),"",(K151-J151)*1440)</x:f>
      </x:c>
      <x:c r="M151" s="149"/>
      <x:c r="N151" s="150"/>
      <x:c r="O151" s="150"/>
      <x:c r="P151" s="150"/>
      <x:c r="Q151" s="151"/>
      <x:c r="R151" s="148" t="str">
        <x:f>IF(OR(Q151="",'Setup &amp; Lists'!$B$8=""),"",Q151*'Setup &amp; Lists'!$B$8)</x:f>
      </x:c>
      <x:c r="S151" s="115"/>
      <x:c r="T151" s="117"/>
      <x:c r="U151" s="119"/>
    </x:row>
    <x:row r="152">
      <x:c r="A152" s="139"/>
      <x:c r="B152" s="117"/>
      <x:c r="C152" s="117"/>
      <x:c r="D152" s="117"/>
      <x:c r="E152" s="117"/>
      <x:c r="F152" s="117"/>
      <x:c r="G152" s="117"/>
      <x:c r="H152" s="117"/>
      <x:c r="I152" s="117"/>
      <x:c r="J152" s="118"/>
      <x:c r="K152" s="140"/>
      <x:c r="L152" s="137" t="str">
        <x:f>IF(OR(J152="",K152=""),"",(K152-J152)*1440)</x:f>
      </x:c>
      <x:c r="M152" s="149"/>
      <x:c r="N152" s="150"/>
      <x:c r="O152" s="150"/>
      <x:c r="P152" s="150"/>
      <x:c r="Q152" s="151"/>
      <x:c r="R152" s="148" t="str">
        <x:f>IF(OR(Q152="",'Setup &amp; Lists'!$B$8=""),"",Q152*'Setup &amp; Lists'!$B$8)</x:f>
      </x:c>
      <x:c r="S152" s="115"/>
      <x:c r="T152" s="117"/>
      <x:c r="U152" s="119"/>
    </x:row>
    <x:row r="153">
      <x:c r="A153" s="139"/>
      <x:c r="B153" s="117"/>
      <x:c r="C153" s="117"/>
      <x:c r="D153" s="117"/>
      <x:c r="E153" s="117"/>
      <x:c r="F153" s="117"/>
      <x:c r="G153" s="117"/>
      <x:c r="H153" s="117"/>
      <x:c r="I153" s="117"/>
      <x:c r="J153" s="118"/>
      <x:c r="K153" s="140"/>
      <x:c r="L153" s="137" t="str">
        <x:f>IF(OR(J153="",K153=""),"",(K153-J153)*1440)</x:f>
      </x:c>
      <x:c r="M153" s="149"/>
      <x:c r="N153" s="150"/>
      <x:c r="O153" s="150"/>
      <x:c r="P153" s="150"/>
      <x:c r="Q153" s="151"/>
      <x:c r="R153" s="148" t="str">
        <x:f>IF(OR(Q153="",'Setup &amp; Lists'!$B$8=""),"",Q153*'Setup &amp; Lists'!$B$8)</x:f>
      </x:c>
      <x:c r="S153" s="115"/>
      <x:c r="T153" s="117"/>
      <x:c r="U153" s="119"/>
    </x:row>
    <x:row r="154">
      <x:c r="A154" s="139"/>
      <x:c r="B154" s="117"/>
      <x:c r="C154" s="117"/>
      <x:c r="D154" s="117"/>
      <x:c r="E154" s="117"/>
      <x:c r="F154" s="117"/>
      <x:c r="G154" s="117"/>
      <x:c r="H154" s="117"/>
      <x:c r="I154" s="117"/>
      <x:c r="J154" s="118"/>
      <x:c r="K154" s="140"/>
      <x:c r="L154" s="137" t="str">
        <x:f>IF(OR(J154="",K154=""),"",(K154-J154)*1440)</x:f>
      </x:c>
      <x:c r="M154" s="149"/>
      <x:c r="N154" s="150"/>
      <x:c r="O154" s="150"/>
      <x:c r="P154" s="150"/>
      <x:c r="Q154" s="151"/>
      <x:c r="R154" s="148" t="str">
        <x:f>IF(OR(Q154="",'Setup &amp; Lists'!$B$8=""),"",Q154*'Setup &amp; Lists'!$B$8)</x:f>
      </x:c>
      <x:c r="S154" s="115"/>
      <x:c r="T154" s="117"/>
      <x:c r="U154" s="119"/>
    </x:row>
    <x:row r="155">
      <x:c r="A155" s="139"/>
      <x:c r="B155" s="117"/>
      <x:c r="C155" s="117"/>
      <x:c r="D155" s="117"/>
      <x:c r="E155" s="117"/>
      <x:c r="F155" s="117"/>
      <x:c r="G155" s="117"/>
      <x:c r="H155" s="117"/>
      <x:c r="I155" s="117"/>
      <x:c r="J155" s="118"/>
      <x:c r="K155" s="140"/>
      <x:c r="L155" s="137" t="str">
        <x:f>IF(OR(J155="",K155=""),"",(K155-J155)*1440)</x:f>
      </x:c>
      <x:c r="M155" s="149"/>
      <x:c r="N155" s="150"/>
      <x:c r="O155" s="150"/>
      <x:c r="P155" s="150"/>
      <x:c r="Q155" s="151"/>
      <x:c r="R155" s="148" t="str">
        <x:f>IF(OR(Q155="",'Setup &amp; Lists'!$B$8=""),"",Q155*'Setup &amp; Lists'!$B$8)</x:f>
      </x:c>
      <x:c r="S155" s="115"/>
      <x:c r="T155" s="117"/>
      <x:c r="U155" s="119"/>
    </x:row>
    <x:row r="156">
      <x:c r="A156" s="139"/>
      <x:c r="B156" s="117"/>
      <x:c r="C156" s="117"/>
      <x:c r="D156" s="117"/>
      <x:c r="E156" s="117"/>
      <x:c r="F156" s="117"/>
      <x:c r="G156" s="117"/>
      <x:c r="H156" s="117"/>
      <x:c r="I156" s="117"/>
      <x:c r="J156" s="118"/>
      <x:c r="K156" s="140"/>
      <x:c r="L156" s="137" t="str">
        <x:f>IF(OR(J156="",K156=""),"",(K156-J156)*1440)</x:f>
      </x:c>
      <x:c r="M156" s="149"/>
      <x:c r="N156" s="150"/>
      <x:c r="O156" s="150"/>
      <x:c r="P156" s="150"/>
      <x:c r="Q156" s="151"/>
      <x:c r="R156" s="148" t="str">
        <x:f>IF(OR(Q156="",'Setup &amp; Lists'!$B$8=""),"",Q156*'Setup &amp; Lists'!$B$8)</x:f>
      </x:c>
      <x:c r="S156" s="115"/>
      <x:c r="T156" s="117"/>
      <x:c r="U156" s="119"/>
    </x:row>
    <x:row r="157">
      <x:c r="A157" s="139"/>
      <x:c r="B157" s="117"/>
      <x:c r="C157" s="117"/>
      <x:c r="D157" s="117"/>
      <x:c r="E157" s="117"/>
      <x:c r="F157" s="117"/>
      <x:c r="G157" s="117"/>
      <x:c r="H157" s="117"/>
      <x:c r="I157" s="117"/>
      <x:c r="J157" s="118"/>
      <x:c r="K157" s="140"/>
      <x:c r="L157" s="137" t="str">
        <x:f>IF(OR(J157="",K157=""),"",(K157-J157)*1440)</x:f>
      </x:c>
      <x:c r="M157" s="149"/>
      <x:c r="N157" s="150"/>
      <x:c r="O157" s="150"/>
      <x:c r="P157" s="150"/>
      <x:c r="Q157" s="151"/>
      <x:c r="R157" s="148" t="str">
        <x:f>IF(OR(Q157="",'Setup &amp; Lists'!$B$8=""),"",Q157*'Setup &amp; Lists'!$B$8)</x:f>
      </x:c>
      <x:c r="S157" s="115"/>
      <x:c r="T157" s="117"/>
      <x:c r="U157" s="119"/>
    </x:row>
    <x:row r="158">
      <x:c r="A158" s="139"/>
      <x:c r="B158" s="117"/>
      <x:c r="C158" s="117"/>
      <x:c r="D158" s="117"/>
      <x:c r="E158" s="117"/>
      <x:c r="F158" s="117"/>
      <x:c r="G158" s="117"/>
      <x:c r="H158" s="117"/>
      <x:c r="I158" s="117"/>
      <x:c r="J158" s="118"/>
      <x:c r="K158" s="140"/>
      <x:c r="L158" s="137" t="str">
        <x:f>IF(OR(J158="",K158=""),"",(K158-J158)*1440)</x:f>
      </x:c>
      <x:c r="M158" s="149"/>
      <x:c r="N158" s="150"/>
      <x:c r="O158" s="150"/>
      <x:c r="P158" s="150"/>
      <x:c r="Q158" s="151"/>
      <x:c r="R158" s="148" t="str">
        <x:f>IF(OR(Q158="",'Setup &amp; Lists'!$B$8=""),"",Q158*'Setup &amp; Lists'!$B$8)</x:f>
      </x:c>
      <x:c r="S158" s="115"/>
      <x:c r="T158" s="117"/>
      <x:c r="U158" s="119"/>
    </x:row>
    <x:row r="159">
      <x:c r="A159" s="139"/>
      <x:c r="B159" s="117"/>
      <x:c r="C159" s="117"/>
      <x:c r="D159" s="117"/>
      <x:c r="E159" s="117"/>
      <x:c r="F159" s="117"/>
      <x:c r="G159" s="117"/>
      <x:c r="H159" s="117"/>
      <x:c r="I159" s="117"/>
      <x:c r="J159" s="118"/>
      <x:c r="K159" s="140"/>
      <x:c r="L159" s="137" t="str">
        <x:f>IF(OR(J159="",K159=""),"",(K159-J159)*1440)</x:f>
      </x:c>
      <x:c r="M159" s="149"/>
      <x:c r="N159" s="150"/>
      <x:c r="O159" s="150"/>
      <x:c r="P159" s="150"/>
      <x:c r="Q159" s="151"/>
      <x:c r="R159" s="148" t="str">
        <x:f>IF(OR(Q159="",'Setup &amp; Lists'!$B$8=""),"",Q159*'Setup &amp; Lists'!$B$8)</x:f>
      </x:c>
      <x:c r="S159" s="115"/>
      <x:c r="T159" s="117"/>
      <x:c r="U159" s="119"/>
    </x:row>
    <x:row r="160">
      <x:c r="A160" s="139"/>
      <x:c r="B160" s="117"/>
      <x:c r="C160" s="117"/>
      <x:c r="D160" s="117"/>
      <x:c r="E160" s="117"/>
      <x:c r="F160" s="117"/>
      <x:c r="G160" s="117"/>
      <x:c r="H160" s="117"/>
      <x:c r="I160" s="117"/>
      <x:c r="J160" s="118"/>
      <x:c r="K160" s="140"/>
      <x:c r="L160" s="137" t="str">
        <x:f>IF(OR(J160="",K160=""),"",(K160-J160)*1440)</x:f>
      </x:c>
      <x:c r="M160" s="149"/>
      <x:c r="N160" s="150"/>
      <x:c r="O160" s="150"/>
      <x:c r="P160" s="150"/>
      <x:c r="Q160" s="151"/>
      <x:c r="R160" s="148" t="str">
        <x:f>IF(OR(Q160="",'Setup &amp; Lists'!$B$8=""),"",Q160*'Setup &amp; Lists'!$B$8)</x:f>
      </x:c>
      <x:c r="S160" s="115"/>
      <x:c r="T160" s="117"/>
      <x:c r="U160" s="119"/>
    </x:row>
    <x:row r="161">
      <x:c r="A161" s="139"/>
      <x:c r="B161" s="117"/>
      <x:c r="C161" s="117"/>
      <x:c r="D161" s="117"/>
      <x:c r="E161" s="117"/>
      <x:c r="F161" s="117"/>
      <x:c r="G161" s="117"/>
      <x:c r="H161" s="117"/>
      <x:c r="I161" s="117"/>
      <x:c r="J161" s="118"/>
      <x:c r="K161" s="140"/>
      <x:c r="L161" s="137" t="str">
        <x:f>IF(OR(J161="",K161=""),"",(K161-J161)*1440)</x:f>
      </x:c>
      <x:c r="M161" s="149"/>
      <x:c r="N161" s="150"/>
      <x:c r="O161" s="150"/>
      <x:c r="P161" s="150"/>
      <x:c r="Q161" s="151"/>
      <x:c r="R161" s="148" t="str">
        <x:f>IF(OR(Q161="",'Setup &amp; Lists'!$B$8=""),"",Q161*'Setup &amp; Lists'!$B$8)</x:f>
      </x:c>
      <x:c r="S161" s="115"/>
      <x:c r="T161" s="117"/>
      <x:c r="U161" s="119"/>
    </x:row>
    <x:row r="162">
      <x:c r="A162" s="139"/>
      <x:c r="B162" s="117"/>
      <x:c r="C162" s="117"/>
      <x:c r="D162" s="117"/>
      <x:c r="E162" s="117"/>
      <x:c r="F162" s="117"/>
      <x:c r="G162" s="117"/>
      <x:c r="H162" s="117"/>
      <x:c r="I162" s="117"/>
      <x:c r="J162" s="118"/>
      <x:c r="K162" s="140"/>
      <x:c r="L162" s="137" t="str">
        <x:f>IF(OR(J162="",K162=""),"",(K162-J162)*1440)</x:f>
      </x:c>
      <x:c r="M162" s="149"/>
      <x:c r="N162" s="150"/>
      <x:c r="O162" s="150"/>
      <x:c r="P162" s="150"/>
      <x:c r="Q162" s="151"/>
      <x:c r="R162" s="148" t="str">
        <x:f>IF(OR(Q162="",'Setup &amp; Lists'!$B$8=""),"",Q162*'Setup &amp; Lists'!$B$8)</x:f>
      </x:c>
      <x:c r="S162" s="115"/>
      <x:c r="T162" s="117"/>
      <x:c r="U162" s="119"/>
    </x:row>
    <x:row r="163">
      <x:c r="A163" s="139"/>
      <x:c r="B163" s="117"/>
      <x:c r="C163" s="117"/>
      <x:c r="D163" s="117"/>
      <x:c r="E163" s="117"/>
      <x:c r="F163" s="117"/>
      <x:c r="G163" s="117"/>
      <x:c r="H163" s="117"/>
      <x:c r="I163" s="117"/>
      <x:c r="J163" s="118"/>
      <x:c r="K163" s="140"/>
      <x:c r="L163" s="137" t="str">
        <x:f>IF(OR(J163="",K163=""),"",(K163-J163)*1440)</x:f>
      </x:c>
      <x:c r="M163" s="149"/>
      <x:c r="N163" s="150"/>
      <x:c r="O163" s="150"/>
      <x:c r="P163" s="150"/>
      <x:c r="Q163" s="151"/>
      <x:c r="R163" s="148" t="str">
        <x:f>IF(OR(Q163="",'Setup &amp; Lists'!$B$8=""),"",Q163*'Setup &amp; Lists'!$B$8)</x:f>
      </x:c>
      <x:c r="S163" s="115"/>
      <x:c r="T163" s="117"/>
      <x:c r="U163" s="119"/>
    </x:row>
    <x:row r="164">
      <x:c r="A164" s="139"/>
      <x:c r="B164" s="117"/>
      <x:c r="C164" s="117"/>
      <x:c r="D164" s="117"/>
      <x:c r="E164" s="117"/>
      <x:c r="F164" s="117"/>
      <x:c r="G164" s="117"/>
      <x:c r="H164" s="117"/>
      <x:c r="I164" s="117"/>
      <x:c r="J164" s="118"/>
      <x:c r="K164" s="140"/>
      <x:c r="L164" s="137" t="str">
        <x:f>IF(OR(J164="",K164=""),"",(K164-J164)*1440)</x:f>
      </x:c>
      <x:c r="M164" s="149"/>
      <x:c r="N164" s="150"/>
      <x:c r="O164" s="150"/>
      <x:c r="P164" s="150"/>
      <x:c r="Q164" s="151"/>
      <x:c r="R164" s="148" t="str">
        <x:f>IF(OR(Q164="",'Setup &amp; Lists'!$B$8=""),"",Q164*'Setup &amp; Lists'!$B$8)</x:f>
      </x:c>
      <x:c r="S164" s="115"/>
      <x:c r="T164" s="117"/>
      <x:c r="U164" s="119"/>
    </x:row>
    <x:row r="165">
      <x:c r="A165" s="139"/>
      <x:c r="B165" s="117"/>
      <x:c r="C165" s="117"/>
      <x:c r="D165" s="117"/>
      <x:c r="E165" s="117"/>
      <x:c r="F165" s="117"/>
      <x:c r="G165" s="117"/>
      <x:c r="H165" s="117"/>
      <x:c r="I165" s="117"/>
      <x:c r="J165" s="118"/>
      <x:c r="K165" s="140"/>
      <x:c r="L165" s="137" t="str">
        <x:f>IF(OR(J165="",K165=""),"",(K165-J165)*1440)</x:f>
      </x:c>
      <x:c r="M165" s="149"/>
      <x:c r="N165" s="150"/>
      <x:c r="O165" s="150"/>
      <x:c r="P165" s="150"/>
      <x:c r="Q165" s="151"/>
      <x:c r="R165" s="148" t="str">
        <x:f>IF(OR(Q165="",'Setup &amp; Lists'!$B$8=""),"",Q165*'Setup &amp; Lists'!$B$8)</x:f>
      </x:c>
      <x:c r="S165" s="115"/>
      <x:c r="T165" s="117"/>
      <x:c r="U165" s="119"/>
    </x:row>
    <x:row r="166">
      <x:c r="A166" s="139"/>
      <x:c r="B166" s="117"/>
      <x:c r="C166" s="117"/>
      <x:c r="D166" s="117"/>
      <x:c r="E166" s="117"/>
      <x:c r="F166" s="117"/>
      <x:c r="G166" s="117"/>
      <x:c r="H166" s="117"/>
      <x:c r="I166" s="117"/>
      <x:c r="J166" s="118"/>
      <x:c r="K166" s="140"/>
      <x:c r="L166" s="137" t="str">
        <x:f>IF(OR(J166="",K166=""),"",(K166-J166)*1440)</x:f>
      </x:c>
      <x:c r="M166" s="149"/>
      <x:c r="N166" s="150"/>
      <x:c r="O166" s="150"/>
      <x:c r="P166" s="150"/>
      <x:c r="Q166" s="151"/>
      <x:c r="R166" s="148" t="str">
        <x:f>IF(OR(Q166="",'Setup &amp; Lists'!$B$8=""),"",Q166*'Setup &amp; Lists'!$B$8)</x:f>
      </x:c>
      <x:c r="S166" s="115"/>
      <x:c r="T166" s="117"/>
      <x:c r="U166" s="119"/>
    </x:row>
    <x:row r="167">
      <x:c r="A167" s="139"/>
      <x:c r="B167" s="117"/>
      <x:c r="C167" s="117"/>
      <x:c r="D167" s="117"/>
      <x:c r="E167" s="117"/>
      <x:c r="F167" s="117"/>
      <x:c r="G167" s="117"/>
      <x:c r="H167" s="117"/>
      <x:c r="I167" s="117"/>
      <x:c r="J167" s="118"/>
      <x:c r="K167" s="140"/>
      <x:c r="L167" s="137" t="str">
        <x:f>IF(OR(J167="",K167=""),"",(K167-J167)*1440)</x:f>
      </x:c>
      <x:c r="M167" s="149"/>
      <x:c r="N167" s="150"/>
      <x:c r="O167" s="150"/>
      <x:c r="P167" s="150"/>
      <x:c r="Q167" s="151"/>
      <x:c r="R167" s="148" t="str">
        <x:f>IF(OR(Q167="",'Setup &amp; Lists'!$B$8=""),"",Q167*'Setup &amp; Lists'!$B$8)</x:f>
      </x:c>
      <x:c r="S167" s="115"/>
      <x:c r="T167" s="117"/>
      <x:c r="U167" s="119"/>
    </x:row>
    <x:row r="168">
      <x:c r="A168" s="139"/>
      <x:c r="B168" s="117"/>
      <x:c r="C168" s="117"/>
      <x:c r="D168" s="117"/>
      <x:c r="E168" s="117"/>
      <x:c r="F168" s="117"/>
      <x:c r="G168" s="117"/>
      <x:c r="H168" s="117"/>
      <x:c r="I168" s="117"/>
      <x:c r="J168" s="118"/>
      <x:c r="K168" s="140"/>
      <x:c r="L168" s="137" t="str">
        <x:f>IF(OR(J168="",K168=""),"",(K168-J168)*1440)</x:f>
      </x:c>
      <x:c r="M168" s="149"/>
      <x:c r="N168" s="150"/>
      <x:c r="O168" s="150"/>
      <x:c r="P168" s="150"/>
      <x:c r="Q168" s="151"/>
      <x:c r="R168" s="148" t="str">
        <x:f>IF(OR(Q168="",'Setup &amp; Lists'!$B$8=""),"",Q168*'Setup &amp; Lists'!$B$8)</x:f>
      </x:c>
      <x:c r="S168" s="115"/>
      <x:c r="T168" s="117"/>
      <x:c r="U168" s="119"/>
    </x:row>
    <x:row r="169">
      <x:c r="A169" s="139"/>
      <x:c r="B169" s="117"/>
      <x:c r="C169" s="117"/>
      <x:c r="D169" s="117"/>
      <x:c r="E169" s="117"/>
      <x:c r="F169" s="117"/>
      <x:c r="G169" s="117"/>
      <x:c r="H169" s="117"/>
      <x:c r="I169" s="117"/>
      <x:c r="J169" s="118"/>
      <x:c r="K169" s="140"/>
      <x:c r="L169" s="137" t="str">
        <x:f>IF(OR(J169="",K169=""),"",(K169-J169)*1440)</x:f>
      </x:c>
      <x:c r="M169" s="149"/>
      <x:c r="N169" s="150"/>
      <x:c r="O169" s="150"/>
      <x:c r="P169" s="150"/>
      <x:c r="Q169" s="151"/>
      <x:c r="R169" s="148" t="str">
        <x:f>IF(OR(Q169="",'Setup &amp; Lists'!$B$8=""),"",Q169*'Setup &amp; Lists'!$B$8)</x:f>
      </x:c>
      <x:c r="S169" s="115"/>
      <x:c r="T169" s="117"/>
      <x:c r="U169" s="119"/>
    </x:row>
    <x:row r="170">
      <x:c r="A170" s="139"/>
      <x:c r="B170" s="117"/>
      <x:c r="C170" s="117"/>
      <x:c r="D170" s="117"/>
      <x:c r="E170" s="117"/>
      <x:c r="F170" s="117"/>
      <x:c r="G170" s="117"/>
      <x:c r="H170" s="117"/>
      <x:c r="I170" s="117"/>
      <x:c r="J170" s="118"/>
      <x:c r="K170" s="140"/>
      <x:c r="L170" s="137" t="str">
        <x:f>IF(OR(J170="",K170=""),"",(K170-J170)*1440)</x:f>
      </x:c>
      <x:c r="M170" s="149"/>
      <x:c r="N170" s="150"/>
      <x:c r="O170" s="150"/>
      <x:c r="P170" s="150"/>
      <x:c r="Q170" s="151"/>
      <x:c r="R170" s="148" t="str">
        <x:f>IF(OR(Q170="",'Setup &amp; Lists'!$B$8=""),"",Q170*'Setup &amp; Lists'!$B$8)</x:f>
      </x:c>
      <x:c r="S170" s="115"/>
      <x:c r="T170" s="117"/>
      <x:c r="U170" s="119"/>
    </x:row>
    <x:row r="171">
      <x:c r="A171" s="139"/>
      <x:c r="B171" s="117"/>
      <x:c r="C171" s="117"/>
      <x:c r="D171" s="117"/>
      <x:c r="E171" s="117"/>
      <x:c r="F171" s="117"/>
      <x:c r="G171" s="117"/>
      <x:c r="H171" s="117"/>
      <x:c r="I171" s="117"/>
      <x:c r="J171" s="118"/>
      <x:c r="K171" s="140"/>
      <x:c r="L171" s="137" t="str">
        <x:f>IF(OR(J171="",K171=""),"",(K171-J171)*1440)</x:f>
      </x:c>
      <x:c r="M171" s="149"/>
      <x:c r="N171" s="150"/>
      <x:c r="O171" s="150"/>
      <x:c r="P171" s="150"/>
      <x:c r="Q171" s="151"/>
      <x:c r="R171" s="148" t="str">
        <x:f>IF(OR(Q171="",'Setup &amp; Lists'!$B$8=""),"",Q171*'Setup &amp; Lists'!$B$8)</x:f>
      </x:c>
      <x:c r="S171" s="115"/>
      <x:c r="T171" s="117"/>
      <x:c r="U171" s="119"/>
    </x:row>
    <x:row r="172">
      <x:c r="A172" s="139"/>
      <x:c r="B172" s="117"/>
      <x:c r="C172" s="117"/>
      <x:c r="D172" s="117"/>
      <x:c r="E172" s="117"/>
      <x:c r="F172" s="117"/>
      <x:c r="G172" s="117"/>
      <x:c r="H172" s="117"/>
      <x:c r="I172" s="117"/>
      <x:c r="J172" s="118"/>
      <x:c r="K172" s="140"/>
      <x:c r="L172" s="137" t="str">
        <x:f>IF(OR(J172="",K172=""),"",(K172-J172)*1440)</x:f>
      </x:c>
      <x:c r="M172" s="149"/>
      <x:c r="N172" s="150"/>
      <x:c r="O172" s="150"/>
      <x:c r="P172" s="150"/>
      <x:c r="Q172" s="151"/>
      <x:c r="R172" s="148" t="str">
        <x:f>IF(OR(Q172="",'Setup &amp; Lists'!$B$8=""),"",Q172*'Setup &amp; Lists'!$B$8)</x:f>
      </x:c>
      <x:c r="S172" s="115"/>
      <x:c r="T172" s="117"/>
      <x:c r="U172" s="119"/>
    </x:row>
    <x:row r="173">
      <x:c r="A173" s="139"/>
      <x:c r="B173" s="117"/>
      <x:c r="C173" s="117"/>
      <x:c r="D173" s="117"/>
      <x:c r="E173" s="117"/>
      <x:c r="F173" s="117"/>
      <x:c r="G173" s="117"/>
      <x:c r="H173" s="117"/>
      <x:c r="I173" s="117"/>
      <x:c r="J173" s="118"/>
      <x:c r="K173" s="140"/>
      <x:c r="L173" s="137" t="str">
        <x:f>IF(OR(J173="",K173=""),"",(K173-J173)*1440)</x:f>
      </x:c>
      <x:c r="M173" s="149"/>
      <x:c r="N173" s="150"/>
      <x:c r="O173" s="150"/>
      <x:c r="P173" s="150"/>
      <x:c r="Q173" s="151"/>
      <x:c r="R173" s="148" t="str">
        <x:f>IF(OR(Q173="",'Setup &amp; Lists'!$B$8=""),"",Q173*'Setup &amp; Lists'!$B$8)</x:f>
      </x:c>
      <x:c r="S173" s="115"/>
      <x:c r="T173" s="117"/>
      <x:c r="U173" s="119"/>
    </x:row>
    <x:row r="174">
      <x:c r="A174" s="139"/>
      <x:c r="B174" s="117"/>
      <x:c r="C174" s="117"/>
      <x:c r="D174" s="117"/>
      <x:c r="E174" s="117"/>
      <x:c r="F174" s="117"/>
      <x:c r="G174" s="117"/>
      <x:c r="H174" s="117"/>
      <x:c r="I174" s="117"/>
      <x:c r="J174" s="118"/>
      <x:c r="K174" s="140"/>
      <x:c r="L174" s="137" t="str">
        <x:f>IF(OR(J174="",K174=""),"",(K174-J174)*1440)</x:f>
      </x:c>
      <x:c r="M174" s="149"/>
      <x:c r="N174" s="150"/>
      <x:c r="O174" s="150"/>
      <x:c r="P174" s="150"/>
      <x:c r="Q174" s="151"/>
      <x:c r="R174" s="148" t="str">
        <x:f>IF(OR(Q174="",'Setup &amp; Lists'!$B$8=""),"",Q174*'Setup &amp; Lists'!$B$8)</x:f>
      </x:c>
      <x:c r="S174" s="115"/>
      <x:c r="T174" s="117"/>
      <x:c r="U174" s="119"/>
    </x:row>
    <x:row r="175">
      <x:c r="A175" s="139"/>
      <x:c r="B175" s="117"/>
      <x:c r="C175" s="117"/>
      <x:c r="D175" s="117"/>
      <x:c r="E175" s="117"/>
      <x:c r="F175" s="117"/>
      <x:c r="G175" s="117"/>
      <x:c r="H175" s="117"/>
      <x:c r="I175" s="117"/>
      <x:c r="J175" s="118"/>
      <x:c r="K175" s="140"/>
      <x:c r="L175" s="137" t="str">
        <x:f>IF(OR(J175="",K175=""),"",(K175-J175)*1440)</x:f>
      </x:c>
      <x:c r="M175" s="149"/>
      <x:c r="N175" s="150"/>
      <x:c r="O175" s="150"/>
      <x:c r="P175" s="150"/>
      <x:c r="Q175" s="151"/>
      <x:c r="R175" s="148" t="str">
        <x:f>IF(OR(Q175="",'Setup &amp; Lists'!$B$8=""),"",Q175*'Setup &amp; Lists'!$B$8)</x:f>
      </x:c>
      <x:c r="S175" s="115"/>
      <x:c r="T175" s="117"/>
      <x:c r="U175" s="119"/>
    </x:row>
    <x:row r="176">
      <x:c r="A176" s="139"/>
      <x:c r="B176" s="117"/>
      <x:c r="C176" s="117"/>
      <x:c r="D176" s="117"/>
      <x:c r="E176" s="117"/>
      <x:c r="F176" s="117"/>
      <x:c r="G176" s="117"/>
      <x:c r="H176" s="117"/>
      <x:c r="I176" s="117"/>
      <x:c r="J176" s="118"/>
      <x:c r="K176" s="140"/>
      <x:c r="L176" s="137" t="str">
        <x:f>IF(OR(J176="",K176=""),"",(K176-J176)*1440)</x:f>
      </x:c>
      <x:c r="M176" s="149"/>
      <x:c r="N176" s="150"/>
      <x:c r="O176" s="150"/>
      <x:c r="P176" s="150"/>
      <x:c r="Q176" s="151"/>
      <x:c r="R176" s="148" t="str">
        <x:f>IF(OR(Q176="",'Setup &amp; Lists'!$B$8=""),"",Q176*'Setup &amp; Lists'!$B$8)</x:f>
      </x:c>
      <x:c r="S176" s="115"/>
      <x:c r="T176" s="117"/>
      <x:c r="U176" s="119"/>
    </x:row>
    <x:row r="177">
      <x:c r="A177" s="139"/>
      <x:c r="B177" s="117"/>
      <x:c r="C177" s="117"/>
      <x:c r="D177" s="117"/>
      <x:c r="E177" s="117"/>
      <x:c r="F177" s="117"/>
      <x:c r="G177" s="117"/>
      <x:c r="H177" s="117"/>
      <x:c r="I177" s="117"/>
      <x:c r="J177" s="118"/>
      <x:c r="K177" s="140"/>
      <x:c r="L177" s="137" t="str">
        <x:f>IF(OR(J177="",K177=""),"",(K177-J177)*1440)</x:f>
      </x:c>
      <x:c r="M177" s="149"/>
      <x:c r="N177" s="150"/>
      <x:c r="O177" s="150"/>
      <x:c r="P177" s="150"/>
      <x:c r="Q177" s="151"/>
      <x:c r="R177" s="148" t="str">
        <x:f>IF(OR(Q177="",'Setup &amp; Lists'!$B$8=""),"",Q177*'Setup &amp; Lists'!$B$8)</x:f>
      </x:c>
      <x:c r="S177" s="115"/>
      <x:c r="T177" s="117"/>
      <x:c r="U177" s="119"/>
    </x:row>
    <x:row r="178">
      <x:c r="A178" s="139"/>
      <x:c r="B178" s="117"/>
      <x:c r="C178" s="117"/>
      <x:c r="D178" s="117"/>
      <x:c r="E178" s="117"/>
      <x:c r="F178" s="117"/>
      <x:c r="G178" s="117"/>
      <x:c r="H178" s="117"/>
      <x:c r="I178" s="117"/>
      <x:c r="J178" s="118"/>
      <x:c r="K178" s="140"/>
      <x:c r="L178" s="137" t="str">
        <x:f>IF(OR(J178="",K178=""),"",(K178-J178)*1440)</x:f>
      </x:c>
      <x:c r="M178" s="149"/>
      <x:c r="N178" s="150"/>
      <x:c r="O178" s="150"/>
      <x:c r="P178" s="150"/>
      <x:c r="Q178" s="151"/>
      <x:c r="R178" s="148" t="str">
        <x:f>IF(OR(Q178="",'Setup &amp; Lists'!$B$8=""),"",Q178*'Setup &amp; Lists'!$B$8)</x:f>
      </x:c>
      <x:c r="S178" s="115"/>
      <x:c r="T178" s="117"/>
      <x:c r="U178" s="119"/>
    </x:row>
    <x:row r="179">
      <x:c r="A179" s="139"/>
      <x:c r="B179" s="117"/>
      <x:c r="C179" s="117"/>
      <x:c r="D179" s="117"/>
      <x:c r="E179" s="117"/>
      <x:c r="F179" s="117"/>
      <x:c r="G179" s="117"/>
      <x:c r="H179" s="117"/>
      <x:c r="I179" s="117"/>
      <x:c r="J179" s="118"/>
      <x:c r="K179" s="140"/>
      <x:c r="L179" s="137" t="str">
        <x:f>IF(OR(J179="",K179=""),"",(K179-J179)*1440)</x:f>
      </x:c>
      <x:c r="M179" s="149"/>
      <x:c r="N179" s="150"/>
      <x:c r="O179" s="150"/>
      <x:c r="P179" s="150"/>
      <x:c r="Q179" s="151"/>
      <x:c r="R179" s="148" t="str">
        <x:f>IF(OR(Q179="",'Setup &amp; Lists'!$B$8=""),"",Q179*'Setup &amp; Lists'!$B$8)</x:f>
      </x:c>
      <x:c r="S179" s="115"/>
      <x:c r="T179" s="117"/>
      <x:c r="U179" s="119"/>
    </x:row>
    <x:row r="180">
      <x:c r="A180" s="139"/>
      <x:c r="B180" s="117"/>
      <x:c r="C180" s="117"/>
      <x:c r="D180" s="117"/>
      <x:c r="E180" s="117"/>
      <x:c r="F180" s="117"/>
      <x:c r="G180" s="117"/>
      <x:c r="H180" s="117"/>
      <x:c r="I180" s="117"/>
      <x:c r="J180" s="118"/>
      <x:c r="K180" s="140"/>
      <x:c r="L180" s="137" t="str">
        <x:f>IF(OR(J180="",K180=""),"",(K180-J180)*1440)</x:f>
      </x:c>
      <x:c r="M180" s="149"/>
      <x:c r="N180" s="150"/>
      <x:c r="O180" s="150"/>
      <x:c r="P180" s="150"/>
      <x:c r="Q180" s="151"/>
      <x:c r="R180" s="148" t="str">
        <x:f>IF(OR(Q180="",'Setup &amp; Lists'!$B$8=""),"",Q180*'Setup &amp; Lists'!$B$8)</x:f>
      </x:c>
      <x:c r="S180" s="115"/>
      <x:c r="T180" s="117"/>
      <x:c r="U180" s="119"/>
    </x:row>
    <x:row r="181">
      <x:c r="A181" s="139"/>
      <x:c r="B181" s="117"/>
      <x:c r="C181" s="117"/>
      <x:c r="D181" s="117"/>
      <x:c r="E181" s="117"/>
      <x:c r="F181" s="117"/>
      <x:c r="G181" s="117"/>
      <x:c r="H181" s="117"/>
      <x:c r="I181" s="117"/>
      <x:c r="J181" s="118"/>
      <x:c r="K181" s="140"/>
      <x:c r="L181" s="137" t="str">
        <x:f>IF(OR(J181="",K181=""),"",(K181-J181)*1440)</x:f>
      </x:c>
      <x:c r="M181" s="149"/>
      <x:c r="N181" s="150"/>
      <x:c r="O181" s="150"/>
      <x:c r="P181" s="150"/>
      <x:c r="Q181" s="151"/>
      <x:c r="R181" s="148" t="str">
        <x:f>IF(OR(Q181="",'Setup &amp; Lists'!$B$8=""),"",Q181*'Setup &amp; Lists'!$B$8)</x:f>
      </x:c>
      <x:c r="S181" s="115"/>
      <x:c r="T181" s="117"/>
      <x:c r="U181" s="119"/>
    </x:row>
    <x:row r="182">
      <x:c r="A182" s="139"/>
      <x:c r="B182" s="117"/>
      <x:c r="C182" s="117"/>
      <x:c r="D182" s="117"/>
      <x:c r="E182" s="117"/>
      <x:c r="F182" s="117"/>
      <x:c r="G182" s="117"/>
      <x:c r="H182" s="117"/>
      <x:c r="I182" s="117"/>
      <x:c r="J182" s="118"/>
      <x:c r="K182" s="140"/>
      <x:c r="L182" s="137" t="str">
        <x:f>IF(OR(J182="",K182=""),"",(K182-J182)*1440)</x:f>
      </x:c>
      <x:c r="M182" s="149"/>
      <x:c r="N182" s="150"/>
      <x:c r="O182" s="150"/>
      <x:c r="P182" s="150"/>
      <x:c r="Q182" s="151"/>
      <x:c r="R182" s="148" t="str">
        <x:f>IF(OR(Q182="",'Setup &amp; Lists'!$B$8=""),"",Q182*'Setup &amp; Lists'!$B$8)</x:f>
      </x:c>
      <x:c r="S182" s="115"/>
      <x:c r="T182" s="117"/>
      <x:c r="U182" s="119"/>
    </x:row>
    <x:row r="183">
      <x:c r="A183" s="139"/>
      <x:c r="B183" s="117"/>
      <x:c r="C183" s="117"/>
      <x:c r="D183" s="117"/>
      <x:c r="E183" s="117"/>
      <x:c r="F183" s="117"/>
      <x:c r="G183" s="117"/>
      <x:c r="H183" s="117"/>
      <x:c r="I183" s="117"/>
      <x:c r="J183" s="118"/>
      <x:c r="K183" s="140"/>
      <x:c r="L183" s="137" t="str">
        <x:f>IF(OR(J183="",K183=""),"",(K183-J183)*1440)</x:f>
      </x:c>
      <x:c r="M183" s="149"/>
      <x:c r="N183" s="150"/>
      <x:c r="O183" s="150"/>
      <x:c r="P183" s="150"/>
      <x:c r="Q183" s="151"/>
      <x:c r="R183" s="148" t="str">
        <x:f>IF(OR(Q183="",'Setup &amp; Lists'!$B$8=""),"",Q183*'Setup &amp; Lists'!$B$8)</x:f>
      </x:c>
      <x:c r="S183" s="115"/>
      <x:c r="T183" s="117"/>
      <x:c r="U183" s="119"/>
    </x:row>
    <x:row r="184">
      <x:c r="A184" s="139"/>
      <x:c r="B184" s="117"/>
      <x:c r="C184" s="117"/>
      <x:c r="D184" s="117"/>
      <x:c r="E184" s="117"/>
      <x:c r="F184" s="117"/>
      <x:c r="G184" s="117"/>
      <x:c r="H184" s="117"/>
      <x:c r="I184" s="117"/>
      <x:c r="J184" s="118"/>
      <x:c r="K184" s="140"/>
      <x:c r="L184" s="137" t="str">
        <x:f>IF(OR(J184="",K184=""),"",(K184-J184)*1440)</x:f>
      </x:c>
      <x:c r="M184" s="149"/>
      <x:c r="N184" s="150"/>
      <x:c r="O184" s="150"/>
      <x:c r="P184" s="150"/>
      <x:c r="Q184" s="151"/>
      <x:c r="R184" s="148" t="str">
        <x:f>IF(OR(Q184="",'Setup &amp; Lists'!$B$8=""),"",Q184*'Setup &amp; Lists'!$B$8)</x:f>
      </x:c>
      <x:c r="S184" s="115"/>
      <x:c r="T184" s="117"/>
      <x:c r="U184" s="119"/>
    </x:row>
    <x:row r="185">
      <x:c r="A185" s="139"/>
      <x:c r="B185" s="117"/>
      <x:c r="C185" s="117"/>
      <x:c r="D185" s="117"/>
      <x:c r="E185" s="117"/>
      <x:c r="F185" s="117"/>
      <x:c r="G185" s="117"/>
      <x:c r="H185" s="117"/>
      <x:c r="I185" s="117"/>
      <x:c r="J185" s="118"/>
      <x:c r="K185" s="140"/>
      <x:c r="L185" s="137" t="str">
        <x:f>IF(OR(J185="",K185=""),"",(K185-J185)*1440)</x:f>
      </x:c>
      <x:c r="M185" s="149"/>
      <x:c r="N185" s="150"/>
      <x:c r="O185" s="150"/>
      <x:c r="P185" s="150"/>
      <x:c r="Q185" s="151"/>
      <x:c r="R185" s="148" t="str">
        <x:f>IF(OR(Q185="",'Setup &amp; Lists'!$B$8=""),"",Q185*'Setup &amp; Lists'!$B$8)</x:f>
      </x:c>
      <x:c r="S185" s="115"/>
      <x:c r="T185" s="117"/>
      <x:c r="U185" s="119"/>
    </x:row>
    <x:row r="186">
      <x:c r="A186" s="139"/>
      <x:c r="B186" s="117"/>
      <x:c r="C186" s="117"/>
      <x:c r="D186" s="117"/>
      <x:c r="E186" s="117"/>
      <x:c r="F186" s="117"/>
      <x:c r="G186" s="117"/>
      <x:c r="H186" s="117"/>
      <x:c r="I186" s="117"/>
      <x:c r="J186" s="118"/>
      <x:c r="K186" s="140"/>
      <x:c r="L186" s="137" t="str">
        <x:f>IF(OR(J186="",K186=""),"",(K186-J186)*1440)</x:f>
      </x:c>
      <x:c r="M186" s="149"/>
      <x:c r="N186" s="150"/>
      <x:c r="O186" s="150"/>
      <x:c r="P186" s="150"/>
      <x:c r="Q186" s="151"/>
      <x:c r="R186" s="148" t="str">
        <x:f>IF(OR(Q186="",'Setup &amp; Lists'!$B$8=""),"",Q186*'Setup &amp; Lists'!$B$8)</x:f>
      </x:c>
      <x:c r="S186" s="115"/>
      <x:c r="T186" s="117"/>
      <x:c r="U186" s="119"/>
    </x:row>
    <x:row r="187">
      <x:c r="A187" s="139"/>
      <x:c r="B187" s="117"/>
      <x:c r="C187" s="117"/>
      <x:c r="D187" s="117"/>
      <x:c r="E187" s="117"/>
      <x:c r="F187" s="117"/>
      <x:c r="G187" s="117"/>
      <x:c r="H187" s="117"/>
      <x:c r="I187" s="117"/>
      <x:c r="J187" s="118"/>
      <x:c r="K187" s="140"/>
      <x:c r="L187" s="137" t="str">
        <x:f>IF(OR(J187="",K187=""),"",(K187-J187)*1440)</x:f>
      </x:c>
      <x:c r="M187" s="149"/>
      <x:c r="N187" s="150"/>
      <x:c r="O187" s="150"/>
      <x:c r="P187" s="150"/>
      <x:c r="Q187" s="151"/>
      <x:c r="R187" s="148" t="str">
        <x:f>IF(OR(Q187="",'Setup &amp; Lists'!$B$8=""),"",Q187*'Setup &amp; Lists'!$B$8)</x:f>
      </x:c>
      <x:c r="S187" s="115"/>
      <x:c r="T187" s="117"/>
      <x:c r="U187" s="119"/>
    </x:row>
    <x:row r="188">
      <x:c r="A188" s="139"/>
      <x:c r="B188" s="117"/>
      <x:c r="C188" s="117"/>
      <x:c r="D188" s="117"/>
      <x:c r="E188" s="117"/>
      <x:c r="F188" s="117"/>
      <x:c r="G188" s="117"/>
      <x:c r="H188" s="117"/>
      <x:c r="I188" s="117"/>
      <x:c r="J188" s="118"/>
      <x:c r="K188" s="140"/>
      <x:c r="L188" s="137" t="str">
        <x:f>IF(OR(J188="",K188=""),"",(K188-J188)*1440)</x:f>
      </x:c>
      <x:c r="M188" s="149"/>
      <x:c r="N188" s="150"/>
      <x:c r="O188" s="150"/>
      <x:c r="P188" s="150"/>
      <x:c r="Q188" s="151"/>
      <x:c r="R188" s="148" t="str">
        <x:f>IF(OR(Q188="",'Setup &amp; Lists'!$B$8=""),"",Q188*'Setup &amp; Lists'!$B$8)</x:f>
      </x:c>
      <x:c r="S188" s="115"/>
      <x:c r="T188" s="117"/>
      <x:c r="U188" s="119"/>
    </x:row>
    <x:row r="189">
      <x:c r="A189" s="139"/>
      <x:c r="B189" s="117"/>
      <x:c r="C189" s="117"/>
      <x:c r="D189" s="117"/>
      <x:c r="E189" s="117"/>
      <x:c r="F189" s="117"/>
      <x:c r="G189" s="117"/>
      <x:c r="H189" s="117"/>
      <x:c r="I189" s="117"/>
      <x:c r="J189" s="118"/>
      <x:c r="K189" s="140"/>
      <x:c r="L189" s="137" t="str">
        <x:f>IF(OR(J189="",K189=""),"",(K189-J189)*1440)</x:f>
      </x:c>
      <x:c r="M189" s="149"/>
      <x:c r="N189" s="150"/>
      <x:c r="O189" s="150"/>
      <x:c r="P189" s="150"/>
      <x:c r="Q189" s="151"/>
      <x:c r="R189" s="148" t="str">
        <x:f>IF(OR(Q189="",'Setup &amp; Lists'!$B$8=""),"",Q189*'Setup &amp; Lists'!$B$8)</x:f>
      </x:c>
      <x:c r="S189" s="115"/>
      <x:c r="T189" s="117"/>
      <x:c r="U189" s="119"/>
    </x:row>
    <x:row r="190">
      <x:c r="A190" s="139"/>
      <x:c r="B190" s="117"/>
      <x:c r="C190" s="117"/>
      <x:c r="D190" s="117"/>
      <x:c r="E190" s="117"/>
      <x:c r="F190" s="117"/>
      <x:c r="G190" s="117"/>
      <x:c r="H190" s="117"/>
      <x:c r="I190" s="117"/>
      <x:c r="J190" s="118"/>
      <x:c r="K190" s="140"/>
      <x:c r="L190" s="137" t="str">
        <x:f>IF(OR(J190="",K190=""),"",(K190-J190)*1440)</x:f>
      </x:c>
      <x:c r="M190" s="149"/>
      <x:c r="N190" s="150"/>
      <x:c r="O190" s="150"/>
      <x:c r="P190" s="150"/>
      <x:c r="Q190" s="151"/>
      <x:c r="R190" s="148" t="str">
        <x:f>IF(OR(Q190="",'Setup &amp; Lists'!$B$8=""),"",Q190*'Setup &amp; Lists'!$B$8)</x:f>
      </x:c>
      <x:c r="S190" s="115"/>
      <x:c r="T190" s="117"/>
      <x:c r="U190" s="119"/>
    </x:row>
    <x:row r="191">
      <x:c r="A191" s="139"/>
      <x:c r="B191" s="117"/>
      <x:c r="C191" s="117"/>
      <x:c r="D191" s="117"/>
      <x:c r="E191" s="117"/>
      <x:c r="F191" s="117"/>
      <x:c r="G191" s="117"/>
      <x:c r="H191" s="117"/>
      <x:c r="I191" s="117"/>
      <x:c r="J191" s="118"/>
      <x:c r="K191" s="140"/>
      <x:c r="L191" s="137" t="str">
        <x:f>IF(OR(J191="",K191=""),"",(K191-J191)*1440)</x:f>
      </x:c>
      <x:c r="M191" s="149"/>
      <x:c r="N191" s="150"/>
      <x:c r="O191" s="150"/>
      <x:c r="P191" s="150"/>
      <x:c r="Q191" s="151"/>
      <x:c r="R191" s="148" t="str">
        <x:f>IF(OR(Q191="",'Setup &amp; Lists'!$B$8=""),"",Q191*'Setup &amp; Lists'!$B$8)</x:f>
      </x:c>
      <x:c r="S191" s="115"/>
      <x:c r="T191" s="117"/>
      <x:c r="U191" s="119"/>
    </x:row>
    <x:row r="192">
      <x:c r="A192" s="139"/>
      <x:c r="B192" s="117"/>
      <x:c r="C192" s="117"/>
      <x:c r="D192" s="117"/>
      <x:c r="E192" s="117"/>
      <x:c r="F192" s="117"/>
      <x:c r="G192" s="117"/>
      <x:c r="H192" s="117"/>
      <x:c r="I192" s="117"/>
      <x:c r="J192" s="118"/>
      <x:c r="K192" s="140"/>
      <x:c r="L192" s="137" t="str">
        <x:f>IF(OR(J192="",K192=""),"",(K192-J192)*1440)</x:f>
      </x:c>
      <x:c r="M192" s="149"/>
      <x:c r="N192" s="150"/>
      <x:c r="O192" s="150"/>
      <x:c r="P192" s="150"/>
      <x:c r="Q192" s="151"/>
      <x:c r="R192" s="148" t="str">
        <x:f>IF(OR(Q192="",'Setup &amp; Lists'!$B$8=""),"",Q192*'Setup &amp; Lists'!$B$8)</x:f>
      </x:c>
      <x:c r="S192" s="115"/>
      <x:c r="T192" s="117"/>
      <x:c r="U192" s="119"/>
    </x:row>
    <x:row r="193">
      <x:c r="A193" s="139"/>
      <x:c r="B193" s="117"/>
      <x:c r="C193" s="117"/>
      <x:c r="D193" s="117"/>
      <x:c r="E193" s="117"/>
      <x:c r="F193" s="117"/>
      <x:c r="G193" s="117"/>
      <x:c r="H193" s="117"/>
      <x:c r="I193" s="117"/>
      <x:c r="J193" s="118"/>
      <x:c r="K193" s="140"/>
      <x:c r="L193" s="137" t="str">
        <x:f>IF(OR(J193="",K193=""),"",(K193-J193)*1440)</x:f>
      </x:c>
      <x:c r="M193" s="149"/>
      <x:c r="N193" s="150"/>
      <x:c r="O193" s="150"/>
      <x:c r="P193" s="150"/>
      <x:c r="Q193" s="151"/>
      <x:c r="R193" s="148" t="str">
        <x:f>IF(OR(Q193="",'Setup &amp; Lists'!$B$8=""),"",Q193*'Setup &amp; Lists'!$B$8)</x:f>
      </x:c>
      <x:c r="S193" s="115"/>
      <x:c r="T193" s="117"/>
      <x:c r="U193" s="119"/>
    </x:row>
    <x:row r="194">
      <x:c r="A194" s="139"/>
      <x:c r="B194" s="117"/>
      <x:c r="C194" s="117"/>
      <x:c r="D194" s="117"/>
      <x:c r="E194" s="117"/>
      <x:c r="F194" s="117"/>
      <x:c r="G194" s="117"/>
      <x:c r="H194" s="117"/>
      <x:c r="I194" s="117"/>
      <x:c r="J194" s="118"/>
      <x:c r="K194" s="140"/>
      <x:c r="L194" s="137" t="str">
        <x:f>IF(OR(J194="",K194=""),"",(K194-J194)*1440)</x:f>
      </x:c>
      <x:c r="M194" s="149"/>
      <x:c r="N194" s="150"/>
      <x:c r="O194" s="150"/>
      <x:c r="P194" s="150"/>
      <x:c r="Q194" s="151"/>
      <x:c r="R194" s="148" t="str">
        <x:f>IF(OR(Q194="",'Setup &amp; Lists'!$B$8=""),"",Q194*'Setup &amp; Lists'!$B$8)</x:f>
      </x:c>
      <x:c r="S194" s="115"/>
      <x:c r="T194" s="117"/>
      <x:c r="U194" s="119"/>
    </x:row>
    <x:row r="195">
      <x:c r="A195" s="139"/>
      <x:c r="B195" s="117"/>
      <x:c r="C195" s="117"/>
      <x:c r="D195" s="117"/>
      <x:c r="E195" s="117"/>
      <x:c r="F195" s="117"/>
      <x:c r="G195" s="117"/>
      <x:c r="H195" s="117"/>
      <x:c r="I195" s="117"/>
      <x:c r="J195" s="118"/>
      <x:c r="K195" s="140"/>
      <x:c r="L195" s="137" t="str">
        <x:f>IF(OR(J195="",K195=""),"",(K195-J195)*1440)</x:f>
      </x:c>
      <x:c r="M195" s="149"/>
      <x:c r="N195" s="150"/>
      <x:c r="O195" s="150"/>
      <x:c r="P195" s="150"/>
      <x:c r="Q195" s="151"/>
      <x:c r="R195" s="148" t="str">
        <x:f>IF(OR(Q195="",'Setup &amp; Lists'!$B$8=""),"",Q195*'Setup &amp; Lists'!$B$8)</x:f>
      </x:c>
      <x:c r="S195" s="115"/>
      <x:c r="T195" s="117"/>
      <x:c r="U195" s="119"/>
    </x:row>
    <x:row r="196">
      <x:c r="A196" s="139"/>
      <x:c r="B196" s="117"/>
      <x:c r="C196" s="117"/>
      <x:c r="D196" s="117"/>
      <x:c r="E196" s="117"/>
      <x:c r="F196" s="117"/>
      <x:c r="G196" s="117"/>
      <x:c r="H196" s="117"/>
      <x:c r="I196" s="117"/>
      <x:c r="J196" s="118"/>
      <x:c r="K196" s="140"/>
      <x:c r="L196" s="137" t="str">
        <x:f>IF(OR(J196="",K196=""),"",(K196-J196)*1440)</x:f>
      </x:c>
      <x:c r="M196" s="149"/>
      <x:c r="N196" s="150"/>
      <x:c r="O196" s="150"/>
      <x:c r="P196" s="150"/>
      <x:c r="Q196" s="151"/>
      <x:c r="R196" s="148" t="str">
        <x:f>IF(OR(Q196="",'Setup &amp; Lists'!$B$8=""),"",Q196*'Setup &amp; Lists'!$B$8)</x:f>
      </x:c>
      <x:c r="S196" s="115"/>
      <x:c r="T196" s="117"/>
      <x:c r="U196" s="119"/>
    </x:row>
    <x:row r="197">
      <x:c r="A197" s="139"/>
      <x:c r="B197" s="117"/>
      <x:c r="C197" s="117"/>
      <x:c r="D197" s="117"/>
      <x:c r="E197" s="117"/>
      <x:c r="F197" s="117"/>
      <x:c r="G197" s="117"/>
      <x:c r="H197" s="117"/>
      <x:c r="I197" s="117"/>
      <x:c r="J197" s="118"/>
      <x:c r="K197" s="140"/>
      <x:c r="L197" s="137" t="str">
        <x:f>IF(OR(J197="",K197=""),"",(K197-J197)*1440)</x:f>
      </x:c>
      <x:c r="M197" s="149"/>
      <x:c r="N197" s="150"/>
      <x:c r="O197" s="150"/>
      <x:c r="P197" s="150"/>
      <x:c r="Q197" s="151"/>
      <x:c r="R197" s="148" t="str">
        <x:f>IF(OR(Q197="",'Setup &amp; Lists'!$B$8=""),"",Q197*'Setup &amp; Lists'!$B$8)</x:f>
      </x:c>
      <x:c r="S197" s="115"/>
      <x:c r="T197" s="117"/>
      <x:c r="U197" s="119"/>
    </x:row>
    <x:row r="198">
      <x:c r="A198" s="139"/>
      <x:c r="B198" s="117"/>
      <x:c r="C198" s="117"/>
      <x:c r="D198" s="117"/>
      <x:c r="E198" s="117"/>
      <x:c r="F198" s="117"/>
      <x:c r="G198" s="117"/>
      <x:c r="H198" s="117"/>
      <x:c r="I198" s="117"/>
      <x:c r="J198" s="118"/>
      <x:c r="K198" s="140"/>
      <x:c r="L198" s="137" t="str">
        <x:f>IF(OR(J198="",K198=""),"",(K198-J198)*1440)</x:f>
      </x:c>
      <x:c r="M198" s="149"/>
      <x:c r="N198" s="150"/>
      <x:c r="O198" s="150"/>
      <x:c r="P198" s="150"/>
      <x:c r="Q198" s="151"/>
      <x:c r="R198" s="148" t="str">
        <x:f>IF(OR(Q198="",'Setup &amp; Lists'!$B$8=""),"",Q198*'Setup &amp; Lists'!$B$8)</x:f>
      </x:c>
      <x:c r="S198" s="115"/>
      <x:c r="T198" s="117"/>
      <x:c r="U198" s="119"/>
    </x:row>
    <x:row r="199">
      <x:c r="A199" s="139"/>
      <x:c r="B199" s="117"/>
      <x:c r="C199" s="117"/>
      <x:c r="D199" s="117"/>
      <x:c r="E199" s="117"/>
      <x:c r="F199" s="117"/>
      <x:c r="G199" s="117"/>
      <x:c r="H199" s="117"/>
      <x:c r="I199" s="117"/>
      <x:c r="J199" s="118"/>
      <x:c r="K199" s="140"/>
      <x:c r="L199" s="137" t="str">
        <x:f>IF(OR(J199="",K199=""),"",(K199-J199)*1440)</x:f>
      </x:c>
      <x:c r="M199" s="149"/>
      <x:c r="N199" s="150"/>
      <x:c r="O199" s="150"/>
      <x:c r="P199" s="150"/>
      <x:c r="Q199" s="151"/>
      <x:c r="R199" s="148" t="str">
        <x:f>IF(OR(Q199="",'Setup &amp; Lists'!$B$8=""),"",Q199*'Setup &amp; Lists'!$B$8)</x:f>
      </x:c>
      <x:c r="S199" s="115"/>
      <x:c r="T199" s="117"/>
      <x:c r="U199" s="119"/>
    </x:row>
    <x:row r="200">
      <x:c r="A200" s="139"/>
      <x:c r="B200" s="117"/>
      <x:c r="C200" s="117"/>
      <x:c r="D200" s="117"/>
      <x:c r="E200" s="117"/>
      <x:c r="F200" s="117"/>
      <x:c r="G200" s="117"/>
      <x:c r="H200" s="117"/>
      <x:c r="I200" s="117"/>
      <x:c r="J200" s="118"/>
      <x:c r="K200" s="140"/>
      <x:c r="L200" s="137" t="str">
        <x:f>IF(OR(J200="",K200=""),"",(K200-J200)*1440)</x:f>
      </x:c>
      <x:c r="M200" s="149"/>
      <x:c r="N200" s="150"/>
      <x:c r="O200" s="150"/>
      <x:c r="P200" s="150"/>
      <x:c r="Q200" s="151"/>
      <x:c r="R200" s="148" t="str">
        <x:f>IF(OR(Q200="",'Setup &amp; Lists'!$B$8=""),"",Q200*'Setup &amp; Lists'!$B$8)</x:f>
      </x:c>
      <x:c r="S200" s="115"/>
      <x:c r="T200" s="117"/>
      <x:c r="U200" s="119"/>
    </x:row>
    <x:row r="201">
      <x:c r="A201" s="139"/>
      <x:c r="B201" s="117"/>
      <x:c r="C201" s="117"/>
      <x:c r="D201" s="117"/>
      <x:c r="E201" s="117"/>
      <x:c r="F201" s="117"/>
      <x:c r="G201" s="117"/>
      <x:c r="H201" s="117"/>
      <x:c r="I201" s="117"/>
      <x:c r="J201" s="118"/>
      <x:c r="K201" s="140"/>
      <x:c r="L201" s="137" t="str">
        <x:f>IF(OR(J201="",K201=""),"",(K201-J201)*1440)</x:f>
      </x:c>
      <x:c r="M201" s="149"/>
      <x:c r="N201" s="150"/>
      <x:c r="O201" s="150"/>
      <x:c r="P201" s="150"/>
      <x:c r="Q201" s="151"/>
      <x:c r="R201" s="148" t="str">
        <x:f>IF(OR(Q201="",'Setup &amp; Lists'!$B$8=""),"",Q201*'Setup &amp; Lists'!$B$8)</x:f>
      </x:c>
      <x:c r="S201" s="115"/>
      <x:c r="T201" s="117"/>
      <x:c r="U201" s="119"/>
    </x:row>
    <x:row r="202">
      <x:c r="A202" s="139"/>
      <x:c r="B202" s="117"/>
      <x:c r="C202" s="117"/>
      <x:c r="D202" s="117"/>
      <x:c r="E202" s="117"/>
      <x:c r="F202" s="117"/>
      <x:c r="G202" s="117"/>
      <x:c r="H202" s="117"/>
      <x:c r="I202" s="117"/>
      <x:c r="J202" s="118"/>
      <x:c r="K202" s="140"/>
      <x:c r="L202" s="137" t="str">
        <x:f>IF(OR(J202="",K202=""),"",(K202-J202)*1440)</x:f>
      </x:c>
      <x:c r="M202" s="149"/>
      <x:c r="N202" s="150"/>
      <x:c r="O202" s="150"/>
      <x:c r="P202" s="150"/>
      <x:c r="Q202" s="151"/>
      <x:c r="R202" s="148" t="str">
        <x:f>IF(OR(Q202="",'Setup &amp; Lists'!$B$8=""),"",Q202*'Setup &amp; Lists'!$B$8)</x:f>
      </x:c>
      <x:c r="S202" s="115"/>
      <x:c r="T202" s="117"/>
      <x:c r="U202" s="119"/>
    </x:row>
    <x:row r="203">
      <x:c r="A203" s="139"/>
      <x:c r="B203" s="117"/>
      <x:c r="C203" s="117"/>
      <x:c r="D203" s="117"/>
      <x:c r="E203" s="117"/>
      <x:c r="F203" s="117"/>
      <x:c r="G203" s="117"/>
      <x:c r="H203" s="117"/>
      <x:c r="I203" s="117"/>
      <x:c r="J203" s="118"/>
      <x:c r="K203" s="140"/>
      <x:c r="L203" s="137" t="str">
        <x:f>IF(OR(J203="",K203=""),"",(K203-J203)*1440)</x:f>
      </x:c>
      <x:c r="M203" s="149"/>
      <x:c r="N203" s="150"/>
      <x:c r="O203" s="150"/>
      <x:c r="P203" s="150"/>
      <x:c r="Q203" s="151"/>
      <x:c r="R203" s="148" t="str">
        <x:f>IF(OR(Q203="",'Setup &amp; Lists'!$B$8=""),"",Q203*'Setup &amp; Lists'!$B$8)</x:f>
      </x:c>
      <x:c r="S203" s="115"/>
      <x:c r="T203" s="117"/>
      <x:c r="U203" s="119"/>
    </x:row>
    <x:row r="204">
      <x:c r="A204" s="139"/>
      <x:c r="B204" s="117"/>
      <x:c r="C204" s="117"/>
      <x:c r="D204" s="117"/>
      <x:c r="E204" s="117"/>
      <x:c r="F204" s="117"/>
      <x:c r="G204" s="117"/>
      <x:c r="H204" s="117"/>
      <x:c r="I204" s="117"/>
      <x:c r="J204" s="118"/>
      <x:c r="K204" s="140"/>
      <x:c r="L204" s="137" t="str">
        <x:f>IF(OR(J204="",K204=""),"",(K204-J204)*1440)</x:f>
      </x:c>
      <x:c r="M204" s="149"/>
      <x:c r="N204" s="150"/>
      <x:c r="O204" s="150"/>
      <x:c r="P204" s="150"/>
      <x:c r="Q204" s="151"/>
      <x:c r="R204" s="148" t="str">
        <x:f>IF(OR(Q204="",'Setup &amp; Lists'!$B$8=""),"",Q204*'Setup &amp; Lists'!$B$8)</x:f>
      </x:c>
      <x:c r="S204" s="115"/>
      <x:c r="T204" s="117"/>
      <x:c r="U204" s="119"/>
    </x:row>
    <x:row r="205">
      <x:c r="A205" s="139"/>
      <x:c r="B205" s="117"/>
      <x:c r="C205" s="117"/>
      <x:c r="D205" s="117"/>
      <x:c r="E205" s="117"/>
      <x:c r="F205" s="117"/>
      <x:c r="G205" s="117"/>
      <x:c r="H205" s="117"/>
      <x:c r="I205" s="117"/>
      <x:c r="J205" s="118"/>
      <x:c r="K205" s="140"/>
      <x:c r="L205" s="137" t="str">
        <x:f>IF(OR(J205="",K205=""),"",(K205-J205)*1440)</x:f>
      </x:c>
      <x:c r="M205" s="149"/>
      <x:c r="N205" s="150"/>
      <x:c r="O205" s="150"/>
      <x:c r="P205" s="150"/>
      <x:c r="Q205" s="151"/>
      <x:c r="R205" s="148" t="str">
        <x:f>IF(OR(Q205="",'Setup &amp; Lists'!$B$8=""),"",Q205*'Setup &amp; Lists'!$B$8)</x:f>
      </x:c>
      <x:c r="S205" s="115"/>
      <x:c r="T205" s="117"/>
      <x:c r="U205" s="119"/>
    </x:row>
    <x:row r="206">
      <x:c r="A206" s="139"/>
      <x:c r="B206" s="117"/>
      <x:c r="C206" s="117"/>
      <x:c r="D206" s="117"/>
      <x:c r="E206" s="117"/>
      <x:c r="F206" s="117"/>
      <x:c r="G206" s="117"/>
      <x:c r="H206" s="117"/>
      <x:c r="I206" s="117"/>
      <x:c r="J206" s="118"/>
      <x:c r="K206" s="140"/>
      <x:c r="L206" s="137" t="str">
        <x:f>IF(OR(J206="",K206=""),"",(K206-J206)*1440)</x:f>
      </x:c>
      <x:c r="M206" s="149"/>
      <x:c r="N206" s="150"/>
      <x:c r="O206" s="150"/>
      <x:c r="P206" s="150"/>
      <x:c r="Q206" s="151"/>
      <x:c r="R206" s="148" t="str">
        <x:f>IF(OR(Q206="",'Setup &amp; Lists'!$B$8=""),"",Q206*'Setup &amp; Lists'!$B$8)</x:f>
      </x:c>
      <x:c r="S206" s="115"/>
      <x:c r="T206" s="117"/>
      <x:c r="U206" s="119"/>
    </x:row>
    <x:row r="207">
      <x:c r="A207" s="139"/>
      <x:c r="B207" s="117"/>
      <x:c r="C207" s="117"/>
      <x:c r="D207" s="117"/>
      <x:c r="E207" s="117"/>
      <x:c r="F207" s="117"/>
      <x:c r="G207" s="117"/>
      <x:c r="H207" s="117"/>
      <x:c r="I207" s="117"/>
      <x:c r="J207" s="118"/>
      <x:c r="K207" s="140"/>
      <x:c r="L207" s="137" t="str">
        <x:f>IF(OR(J207="",K207=""),"",(K207-J207)*1440)</x:f>
      </x:c>
      <x:c r="M207" s="149"/>
      <x:c r="N207" s="150"/>
      <x:c r="O207" s="150"/>
      <x:c r="P207" s="150"/>
      <x:c r="Q207" s="151"/>
      <x:c r="R207" s="148" t="str">
        <x:f>IF(OR(Q207="",'Setup &amp; Lists'!$B$8=""),"",Q207*'Setup &amp; Lists'!$B$8)</x:f>
      </x:c>
      <x:c r="S207" s="115"/>
      <x:c r="T207" s="117"/>
      <x:c r="U207" s="119"/>
    </x:row>
    <x:row r="208">
      <x:c r="A208" s="139"/>
      <x:c r="B208" s="117"/>
      <x:c r="C208" s="117"/>
      <x:c r="D208" s="117"/>
      <x:c r="E208" s="117"/>
      <x:c r="F208" s="117"/>
      <x:c r="G208" s="117"/>
      <x:c r="H208" s="117"/>
      <x:c r="I208" s="117"/>
      <x:c r="J208" s="118"/>
      <x:c r="K208" s="140"/>
      <x:c r="L208" s="137" t="str">
        <x:f>IF(OR(J208="",K208=""),"",(K208-J208)*1440)</x:f>
      </x:c>
      <x:c r="M208" s="149"/>
      <x:c r="N208" s="150"/>
      <x:c r="O208" s="150"/>
      <x:c r="P208" s="150"/>
      <x:c r="Q208" s="151"/>
      <x:c r="R208" s="148" t="str">
        <x:f>IF(OR(Q208="",'Setup &amp; Lists'!$B$8=""),"",Q208*'Setup &amp; Lists'!$B$8)</x:f>
      </x:c>
      <x:c r="S208" s="115"/>
      <x:c r="T208" s="117"/>
      <x:c r="U208" s="119"/>
    </x:row>
    <x:row r="209">
      <x:c r="A209" s="139"/>
      <x:c r="B209" s="117"/>
      <x:c r="C209" s="117"/>
      <x:c r="D209" s="117"/>
      <x:c r="E209" s="117"/>
      <x:c r="F209" s="117"/>
      <x:c r="G209" s="117"/>
      <x:c r="H209" s="117"/>
      <x:c r="I209" s="117"/>
      <x:c r="J209" s="118"/>
      <x:c r="K209" s="140"/>
      <x:c r="L209" s="137" t="str">
        <x:f>IF(OR(J209="",K209=""),"",(K209-J209)*1440)</x:f>
      </x:c>
      <x:c r="M209" s="149"/>
      <x:c r="N209" s="150"/>
      <x:c r="O209" s="150"/>
      <x:c r="P209" s="150"/>
      <x:c r="Q209" s="151"/>
      <x:c r="R209" s="148" t="str">
        <x:f>IF(OR(Q209="",'Setup &amp; Lists'!$B$8=""),"",Q209*'Setup &amp; Lists'!$B$8)</x:f>
      </x:c>
      <x:c r="S209" s="115"/>
      <x:c r="T209" s="117"/>
      <x:c r="U209" s="119"/>
    </x:row>
    <x:row r="210">
      <x:c r="A210" s="139"/>
      <x:c r="B210" s="117"/>
      <x:c r="C210" s="117"/>
      <x:c r="D210" s="117"/>
      <x:c r="E210" s="117"/>
      <x:c r="F210" s="117"/>
      <x:c r="G210" s="117"/>
      <x:c r="H210" s="117"/>
      <x:c r="I210" s="117"/>
      <x:c r="J210" s="118"/>
      <x:c r="K210" s="140"/>
      <x:c r="L210" s="137" t="str">
        <x:f>IF(OR(J210="",K210=""),"",(K210-J210)*1440)</x:f>
      </x:c>
      <x:c r="M210" s="149"/>
      <x:c r="N210" s="150"/>
      <x:c r="O210" s="150"/>
      <x:c r="P210" s="150"/>
      <x:c r="Q210" s="151"/>
      <x:c r="R210" s="148" t="str">
        <x:f>IF(OR(Q210="",'Setup &amp; Lists'!$B$8=""),"",Q210*'Setup &amp; Lists'!$B$8)</x:f>
      </x:c>
      <x:c r="S210" s="115"/>
      <x:c r="T210" s="117"/>
      <x:c r="U210" s="119"/>
    </x:row>
    <x:row r="211">
      <x:c r="A211" s="139"/>
      <x:c r="B211" s="117"/>
      <x:c r="C211" s="117"/>
      <x:c r="D211" s="117"/>
      <x:c r="E211" s="117"/>
      <x:c r="F211" s="117"/>
      <x:c r="G211" s="117"/>
      <x:c r="H211" s="117"/>
      <x:c r="I211" s="117"/>
      <x:c r="J211" s="118"/>
      <x:c r="K211" s="140"/>
      <x:c r="L211" s="137" t="str">
        <x:f>IF(OR(J211="",K211=""),"",(K211-J211)*1440)</x:f>
      </x:c>
      <x:c r="M211" s="149"/>
      <x:c r="N211" s="150"/>
      <x:c r="O211" s="150"/>
      <x:c r="P211" s="150"/>
      <x:c r="Q211" s="151"/>
      <x:c r="R211" s="148" t="str">
        <x:f>IF(OR(Q211="",'Setup &amp; Lists'!$B$8=""),"",Q211*'Setup &amp; Lists'!$B$8)</x:f>
      </x:c>
      <x:c r="S211" s="115"/>
      <x:c r="T211" s="117"/>
      <x:c r="U211" s="119"/>
    </x:row>
    <x:row r="212">
      <x:c r="A212" s="139"/>
      <x:c r="B212" s="117"/>
      <x:c r="C212" s="117"/>
      <x:c r="D212" s="117"/>
      <x:c r="E212" s="117"/>
      <x:c r="F212" s="117"/>
      <x:c r="G212" s="117"/>
      <x:c r="H212" s="117"/>
      <x:c r="I212" s="117"/>
      <x:c r="J212" s="118"/>
      <x:c r="K212" s="140"/>
      <x:c r="L212" s="137" t="str">
        <x:f>IF(OR(J212="",K212=""),"",(K212-J212)*1440)</x:f>
      </x:c>
      <x:c r="M212" s="149"/>
      <x:c r="N212" s="150"/>
      <x:c r="O212" s="150"/>
      <x:c r="P212" s="150"/>
      <x:c r="Q212" s="151"/>
      <x:c r="R212" s="148" t="str">
        <x:f>IF(OR(Q212="",'Setup &amp; Lists'!$B$8=""),"",Q212*'Setup &amp; Lists'!$B$8)</x:f>
      </x:c>
      <x:c r="S212" s="115"/>
      <x:c r="T212" s="117"/>
      <x:c r="U212" s="119"/>
    </x:row>
    <x:row r="213">
      <x:c r="A213" s="139"/>
      <x:c r="B213" s="117"/>
      <x:c r="C213" s="117"/>
      <x:c r="D213" s="117"/>
      <x:c r="E213" s="117"/>
      <x:c r="F213" s="117"/>
      <x:c r="G213" s="117"/>
      <x:c r="H213" s="117"/>
      <x:c r="I213" s="117"/>
      <x:c r="J213" s="118"/>
      <x:c r="K213" s="140"/>
      <x:c r="L213" s="137" t="str">
        <x:f>IF(OR(J213="",K213=""),"",(K213-J213)*1440)</x:f>
      </x:c>
      <x:c r="M213" s="149"/>
      <x:c r="N213" s="150"/>
      <x:c r="O213" s="150"/>
      <x:c r="P213" s="150"/>
      <x:c r="Q213" s="151"/>
      <x:c r="R213" s="148" t="str">
        <x:f>IF(OR(Q213="",'Setup &amp; Lists'!$B$8=""),"",Q213*'Setup &amp; Lists'!$B$8)</x:f>
      </x:c>
      <x:c r="S213" s="115"/>
      <x:c r="T213" s="117"/>
      <x:c r="U213" s="119"/>
    </x:row>
    <x:row r="214">
      <x:c r="A214" s="139"/>
      <x:c r="B214" s="117"/>
      <x:c r="C214" s="117"/>
      <x:c r="D214" s="117"/>
      <x:c r="E214" s="117"/>
      <x:c r="F214" s="117"/>
      <x:c r="G214" s="117"/>
      <x:c r="H214" s="117"/>
      <x:c r="I214" s="117"/>
      <x:c r="J214" s="118"/>
      <x:c r="K214" s="140"/>
      <x:c r="L214" s="137" t="str">
        <x:f>IF(OR(J214="",K214=""),"",(K214-J214)*1440)</x:f>
      </x:c>
      <x:c r="M214" s="149"/>
      <x:c r="N214" s="150"/>
      <x:c r="O214" s="150"/>
      <x:c r="P214" s="150"/>
      <x:c r="Q214" s="151"/>
      <x:c r="R214" s="148" t="str">
        <x:f>IF(OR(Q214="",'Setup &amp; Lists'!$B$8=""),"",Q214*'Setup &amp; Lists'!$B$8)</x:f>
      </x:c>
      <x:c r="S214" s="115"/>
      <x:c r="T214" s="117"/>
      <x:c r="U214" s="119"/>
    </x:row>
    <x:row r="215">
      <x:c r="A215" s="139"/>
      <x:c r="B215" s="117"/>
      <x:c r="C215" s="117"/>
      <x:c r="D215" s="117"/>
      <x:c r="E215" s="117"/>
      <x:c r="F215" s="117"/>
      <x:c r="G215" s="117"/>
      <x:c r="H215" s="117"/>
      <x:c r="I215" s="117"/>
      <x:c r="J215" s="118"/>
      <x:c r="K215" s="140"/>
      <x:c r="L215" s="137" t="str">
        <x:f>IF(OR(J215="",K215=""),"",(K215-J215)*1440)</x:f>
      </x:c>
      <x:c r="M215" s="149"/>
      <x:c r="N215" s="150"/>
      <x:c r="O215" s="150"/>
      <x:c r="P215" s="150"/>
      <x:c r="Q215" s="151"/>
      <x:c r="R215" s="148" t="str">
        <x:f>IF(OR(Q215="",'Setup &amp; Lists'!$B$8=""),"",Q215*'Setup &amp; Lists'!$B$8)</x:f>
      </x:c>
      <x:c r="S215" s="115"/>
      <x:c r="T215" s="117"/>
      <x:c r="U215" s="119"/>
    </x:row>
    <x:row r="216">
      <x:c r="A216" s="139"/>
      <x:c r="B216" s="117"/>
      <x:c r="C216" s="117"/>
      <x:c r="D216" s="117"/>
      <x:c r="E216" s="117"/>
      <x:c r="F216" s="117"/>
      <x:c r="G216" s="117"/>
      <x:c r="H216" s="117"/>
      <x:c r="I216" s="117"/>
      <x:c r="J216" s="118"/>
      <x:c r="K216" s="140"/>
      <x:c r="L216" s="137" t="str">
        <x:f>IF(OR(J216="",K216=""),"",(K216-J216)*1440)</x:f>
      </x:c>
      <x:c r="M216" s="149"/>
      <x:c r="N216" s="150"/>
      <x:c r="O216" s="150"/>
      <x:c r="P216" s="150"/>
      <x:c r="Q216" s="151"/>
      <x:c r="R216" s="148" t="str">
        <x:f>IF(OR(Q216="",'Setup &amp; Lists'!$B$8=""),"",Q216*'Setup &amp; Lists'!$B$8)</x:f>
      </x:c>
      <x:c r="S216" s="115"/>
      <x:c r="T216" s="117"/>
      <x:c r="U216" s="119"/>
    </x:row>
    <x:row r="217">
      <x:c r="A217" s="139"/>
      <x:c r="B217" s="117"/>
      <x:c r="C217" s="117"/>
      <x:c r="D217" s="117"/>
      <x:c r="E217" s="117"/>
      <x:c r="F217" s="117"/>
      <x:c r="G217" s="117"/>
      <x:c r="H217" s="117"/>
      <x:c r="I217" s="117"/>
      <x:c r="J217" s="118"/>
      <x:c r="K217" s="140"/>
      <x:c r="L217" s="137" t="str">
        <x:f>IF(OR(J217="",K217=""),"",(K217-J217)*1440)</x:f>
      </x:c>
      <x:c r="M217" s="149"/>
      <x:c r="N217" s="150"/>
      <x:c r="O217" s="150"/>
      <x:c r="P217" s="150"/>
      <x:c r="Q217" s="151"/>
      <x:c r="R217" s="148" t="str">
        <x:f>IF(OR(Q217="",'Setup &amp; Lists'!$B$8=""),"",Q217*'Setup &amp; Lists'!$B$8)</x:f>
      </x:c>
      <x:c r="S217" s="115"/>
      <x:c r="T217" s="117"/>
      <x:c r="U217" s="119"/>
    </x:row>
    <x:row r="218">
      <x:c r="A218" s="139"/>
      <x:c r="B218" s="117"/>
      <x:c r="C218" s="117"/>
      <x:c r="D218" s="117"/>
      <x:c r="E218" s="117"/>
      <x:c r="F218" s="117"/>
      <x:c r="G218" s="117"/>
      <x:c r="H218" s="117"/>
      <x:c r="I218" s="117"/>
      <x:c r="J218" s="118"/>
      <x:c r="K218" s="140"/>
      <x:c r="L218" s="137" t="str">
        <x:f>IF(OR(J218="",K218=""),"",(K218-J218)*1440)</x:f>
      </x:c>
      <x:c r="M218" s="149"/>
      <x:c r="N218" s="150"/>
      <x:c r="O218" s="150"/>
      <x:c r="P218" s="150"/>
      <x:c r="Q218" s="151"/>
      <x:c r="R218" s="148" t="str">
        <x:f>IF(OR(Q218="",'Setup &amp; Lists'!$B$8=""),"",Q218*'Setup &amp; Lists'!$B$8)</x:f>
      </x:c>
      <x:c r="S218" s="115"/>
      <x:c r="T218" s="117"/>
      <x:c r="U218" s="119"/>
    </x:row>
    <x:row r="219">
      <x:c r="A219" s="139"/>
      <x:c r="B219" s="117"/>
      <x:c r="C219" s="117"/>
      <x:c r="D219" s="117"/>
      <x:c r="E219" s="117"/>
      <x:c r="F219" s="117"/>
      <x:c r="G219" s="117"/>
      <x:c r="H219" s="117"/>
      <x:c r="I219" s="117"/>
      <x:c r="J219" s="118"/>
      <x:c r="K219" s="140"/>
      <x:c r="L219" s="137" t="str">
        <x:f>IF(OR(J219="",K219=""),"",(K219-J219)*1440)</x:f>
      </x:c>
      <x:c r="M219" s="149"/>
      <x:c r="N219" s="150"/>
      <x:c r="O219" s="150"/>
      <x:c r="P219" s="150"/>
      <x:c r="Q219" s="151"/>
      <x:c r="R219" s="148" t="str">
        <x:f>IF(OR(Q219="",'Setup &amp; Lists'!$B$8=""),"",Q219*'Setup &amp; Lists'!$B$8)</x:f>
      </x:c>
      <x:c r="S219" s="115"/>
      <x:c r="T219" s="117"/>
      <x:c r="U219" s="119"/>
    </x:row>
    <x:row r="220">
      <x:c r="A220" s="139"/>
      <x:c r="B220" s="117"/>
      <x:c r="C220" s="117"/>
      <x:c r="D220" s="117"/>
      <x:c r="E220" s="117"/>
      <x:c r="F220" s="117"/>
      <x:c r="G220" s="117"/>
      <x:c r="H220" s="117"/>
      <x:c r="I220" s="117"/>
      <x:c r="J220" s="118"/>
      <x:c r="K220" s="140"/>
      <x:c r="L220" s="137" t="str">
        <x:f>IF(OR(J220="",K220=""),"",(K220-J220)*1440)</x:f>
      </x:c>
      <x:c r="M220" s="149"/>
      <x:c r="N220" s="150"/>
      <x:c r="O220" s="150"/>
      <x:c r="P220" s="150"/>
      <x:c r="Q220" s="151"/>
      <x:c r="R220" s="148" t="str">
        <x:f>IF(OR(Q220="",'Setup &amp; Lists'!$B$8=""),"",Q220*'Setup &amp; Lists'!$B$8)</x:f>
      </x:c>
      <x:c r="S220" s="115"/>
      <x:c r="T220" s="117"/>
      <x:c r="U220" s="119"/>
    </x:row>
    <x:row r="221">
      <x:c r="A221" s="139"/>
      <x:c r="B221" s="117"/>
      <x:c r="C221" s="117"/>
      <x:c r="D221" s="117"/>
      <x:c r="E221" s="117"/>
      <x:c r="F221" s="117"/>
      <x:c r="G221" s="117"/>
      <x:c r="H221" s="117"/>
      <x:c r="I221" s="117"/>
      <x:c r="J221" s="118"/>
      <x:c r="K221" s="140"/>
      <x:c r="L221" s="137" t="str">
        <x:f>IF(OR(J221="",K221=""),"",(K221-J221)*1440)</x:f>
      </x:c>
      <x:c r="M221" s="149"/>
      <x:c r="N221" s="150"/>
      <x:c r="O221" s="150"/>
      <x:c r="P221" s="150"/>
      <x:c r="Q221" s="151"/>
      <x:c r="R221" s="148" t="str">
        <x:f>IF(OR(Q221="",'Setup &amp; Lists'!$B$8=""),"",Q221*'Setup &amp; Lists'!$B$8)</x:f>
      </x:c>
      <x:c r="S221" s="115"/>
      <x:c r="T221" s="117"/>
      <x:c r="U221" s="119"/>
    </x:row>
    <x:row r="222">
      <x:c r="A222" s="139"/>
      <x:c r="B222" s="117"/>
      <x:c r="C222" s="117"/>
      <x:c r="D222" s="117"/>
      <x:c r="E222" s="117"/>
      <x:c r="F222" s="117"/>
      <x:c r="G222" s="117"/>
      <x:c r="H222" s="117"/>
      <x:c r="I222" s="117"/>
      <x:c r="J222" s="118"/>
      <x:c r="K222" s="140"/>
      <x:c r="L222" s="137" t="str">
        <x:f>IF(OR(J222="",K222=""),"",(K222-J222)*1440)</x:f>
      </x:c>
      <x:c r="M222" s="149"/>
      <x:c r="N222" s="150"/>
      <x:c r="O222" s="150"/>
      <x:c r="P222" s="150"/>
      <x:c r="Q222" s="151"/>
      <x:c r="R222" s="148" t="str">
        <x:f>IF(OR(Q222="",'Setup &amp; Lists'!$B$8=""),"",Q222*'Setup &amp; Lists'!$B$8)</x:f>
      </x:c>
      <x:c r="S222" s="115"/>
      <x:c r="T222" s="117"/>
      <x:c r="U222" s="119"/>
    </x:row>
    <x:row r="223">
      <x:c r="A223" s="139"/>
      <x:c r="B223" s="117"/>
      <x:c r="C223" s="117"/>
      <x:c r="D223" s="117"/>
      <x:c r="E223" s="117"/>
      <x:c r="F223" s="117"/>
      <x:c r="G223" s="117"/>
      <x:c r="H223" s="117"/>
      <x:c r="I223" s="117"/>
      <x:c r="J223" s="118"/>
      <x:c r="K223" s="140"/>
      <x:c r="L223" s="137" t="str">
        <x:f>IF(OR(J223="",K223=""),"",(K223-J223)*1440)</x:f>
      </x:c>
      <x:c r="M223" s="149"/>
      <x:c r="N223" s="150"/>
      <x:c r="O223" s="150"/>
      <x:c r="P223" s="150"/>
      <x:c r="Q223" s="151"/>
      <x:c r="R223" s="148" t="str">
        <x:f>IF(OR(Q223="",'Setup &amp; Lists'!$B$8=""),"",Q223*'Setup &amp; Lists'!$B$8)</x:f>
      </x:c>
      <x:c r="S223" s="115"/>
      <x:c r="T223" s="117"/>
      <x:c r="U223" s="119"/>
    </x:row>
    <x:row r="224">
      <x:c r="A224" s="139"/>
      <x:c r="B224" s="117"/>
      <x:c r="C224" s="117"/>
      <x:c r="D224" s="117"/>
      <x:c r="E224" s="117"/>
      <x:c r="F224" s="117"/>
      <x:c r="G224" s="117"/>
      <x:c r="H224" s="117"/>
      <x:c r="I224" s="117"/>
      <x:c r="J224" s="118"/>
      <x:c r="K224" s="140"/>
      <x:c r="L224" s="137" t="str">
        <x:f>IF(OR(J224="",K224=""),"",(K224-J224)*1440)</x:f>
      </x:c>
      <x:c r="M224" s="149"/>
      <x:c r="N224" s="150"/>
      <x:c r="O224" s="150"/>
      <x:c r="P224" s="150"/>
      <x:c r="Q224" s="151"/>
      <x:c r="R224" s="148" t="str">
        <x:f>IF(OR(Q224="",'Setup &amp; Lists'!$B$8=""),"",Q224*'Setup &amp; Lists'!$B$8)</x:f>
      </x:c>
      <x:c r="S224" s="115"/>
      <x:c r="T224" s="117"/>
      <x:c r="U224" s="119"/>
    </x:row>
    <x:row r="225">
      <x:c r="A225" s="139"/>
      <x:c r="B225" s="117"/>
      <x:c r="C225" s="117"/>
      <x:c r="D225" s="117"/>
      <x:c r="E225" s="117"/>
      <x:c r="F225" s="117"/>
      <x:c r="G225" s="117"/>
      <x:c r="H225" s="117"/>
      <x:c r="I225" s="117"/>
      <x:c r="J225" s="118"/>
      <x:c r="K225" s="140"/>
      <x:c r="L225" s="137" t="str">
        <x:f>IF(OR(J225="",K225=""),"",(K225-J225)*1440)</x:f>
      </x:c>
      <x:c r="M225" s="149"/>
      <x:c r="N225" s="150"/>
      <x:c r="O225" s="150"/>
      <x:c r="P225" s="150"/>
      <x:c r="Q225" s="151"/>
      <x:c r="R225" s="148" t="str">
        <x:f>IF(OR(Q225="",'Setup &amp; Lists'!$B$8=""),"",Q225*'Setup &amp; Lists'!$B$8)</x:f>
      </x:c>
      <x:c r="S225" s="115"/>
      <x:c r="T225" s="117"/>
      <x:c r="U225" s="119"/>
    </x:row>
    <x:row r="226">
      <x:c r="A226" s="139"/>
      <x:c r="B226" s="117"/>
      <x:c r="C226" s="117"/>
      <x:c r="D226" s="117"/>
      <x:c r="E226" s="117"/>
      <x:c r="F226" s="117"/>
      <x:c r="G226" s="117"/>
      <x:c r="H226" s="117"/>
      <x:c r="I226" s="117"/>
      <x:c r="J226" s="118"/>
      <x:c r="K226" s="140"/>
      <x:c r="L226" s="137" t="str">
        <x:f>IF(OR(J226="",K226=""),"",(K226-J226)*1440)</x:f>
      </x:c>
      <x:c r="M226" s="149"/>
      <x:c r="N226" s="150"/>
      <x:c r="O226" s="150"/>
      <x:c r="P226" s="150"/>
      <x:c r="Q226" s="151"/>
      <x:c r="R226" s="148" t="str">
        <x:f>IF(OR(Q226="",'Setup &amp; Lists'!$B$8=""),"",Q226*'Setup &amp; Lists'!$B$8)</x:f>
      </x:c>
      <x:c r="S226" s="115"/>
      <x:c r="T226" s="117"/>
      <x:c r="U226" s="119"/>
    </x:row>
    <x:row r="227">
      <x:c r="A227" s="139"/>
      <x:c r="B227" s="117"/>
      <x:c r="C227" s="117"/>
      <x:c r="D227" s="117"/>
      <x:c r="E227" s="117"/>
      <x:c r="F227" s="117"/>
      <x:c r="G227" s="117"/>
      <x:c r="H227" s="117"/>
      <x:c r="I227" s="117"/>
      <x:c r="J227" s="118"/>
      <x:c r="K227" s="140"/>
      <x:c r="L227" s="137" t="str">
        <x:f>IF(OR(J227="",K227=""),"",(K227-J227)*1440)</x:f>
      </x:c>
      <x:c r="M227" s="149"/>
      <x:c r="N227" s="150"/>
      <x:c r="O227" s="150"/>
      <x:c r="P227" s="150"/>
      <x:c r="Q227" s="151"/>
      <x:c r="R227" s="148" t="str">
        <x:f>IF(OR(Q227="",'Setup &amp; Lists'!$B$8=""),"",Q227*'Setup &amp; Lists'!$B$8)</x:f>
      </x:c>
      <x:c r="S227" s="115"/>
      <x:c r="T227" s="117"/>
      <x:c r="U227" s="119"/>
    </x:row>
    <x:row r="228">
      <x:c r="A228" s="139"/>
      <x:c r="B228" s="117"/>
      <x:c r="C228" s="117"/>
      <x:c r="D228" s="117"/>
      <x:c r="E228" s="117"/>
      <x:c r="F228" s="117"/>
      <x:c r="G228" s="117"/>
      <x:c r="H228" s="117"/>
      <x:c r="I228" s="117"/>
      <x:c r="J228" s="118"/>
      <x:c r="K228" s="140"/>
      <x:c r="L228" s="137" t="str">
        <x:f>IF(OR(J228="",K228=""),"",(K228-J228)*1440)</x:f>
      </x:c>
      <x:c r="M228" s="149"/>
      <x:c r="N228" s="150"/>
      <x:c r="O228" s="150"/>
      <x:c r="P228" s="150"/>
      <x:c r="Q228" s="151"/>
      <x:c r="R228" s="148" t="str">
        <x:f>IF(OR(Q228="",'Setup &amp; Lists'!$B$8=""),"",Q228*'Setup &amp; Lists'!$B$8)</x:f>
      </x:c>
      <x:c r="S228" s="115"/>
      <x:c r="T228" s="117"/>
      <x:c r="U228" s="119"/>
    </x:row>
    <x:row r="229">
      <x:c r="A229" s="139"/>
      <x:c r="B229" s="117"/>
      <x:c r="C229" s="117"/>
      <x:c r="D229" s="117"/>
      <x:c r="E229" s="117"/>
      <x:c r="F229" s="117"/>
      <x:c r="G229" s="117"/>
      <x:c r="H229" s="117"/>
      <x:c r="I229" s="117"/>
      <x:c r="J229" s="118"/>
      <x:c r="K229" s="140"/>
      <x:c r="L229" s="137" t="str">
        <x:f>IF(OR(J229="",K229=""),"",(K229-J229)*1440)</x:f>
      </x:c>
      <x:c r="M229" s="149"/>
      <x:c r="N229" s="150"/>
      <x:c r="O229" s="150"/>
      <x:c r="P229" s="150"/>
      <x:c r="Q229" s="151"/>
      <x:c r="R229" s="148" t="str">
        <x:f>IF(OR(Q229="",'Setup &amp; Lists'!$B$8=""),"",Q229*'Setup &amp; Lists'!$B$8)</x:f>
      </x:c>
      <x:c r="S229" s="115"/>
      <x:c r="T229" s="117"/>
      <x:c r="U229" s="119"/>
    </x:row>
    <x:row r="230">
      <x:c r="A230" s="139"/>
      <x:c r="B230" s="117"/>
      <x:c r="C230" s="117"/>
      <x:c r="D230" s="117"/>
      <x:c r="E230" s="117"/>
      <x:c r="F230" s="117"/>
      <x:c r="G230" s="117"/>
      <x:c r="H230" s="117"/>
      <x:c r="I230" s="117"/>
      <x:c r="J230" s="118"/>
      <x:c r="K230" s="140"/>
      <x:c r="L230" s="137" t="str">
        <x:f>IF(OR(J230="",K230=""),"",(K230-J230)*1440)</x:f>
      </x:c>
      <x:c r="M230" s="149"/>
      <x:c r="N230" s="150"/>
      <x:c r="O230" s="150"/>
      <x:c r="P230" s="150"/>
      <x:c r="Q230" s="151"/>
      <x:c r="R230" s="148" t="str">
        <x:f>IF(OR(Q230="",'Setup &amp; Lists'!$B$8=""),"",Q230*'Setup &amp; Lists'!$B$8)</x:f>
      </x:c>
      <x:c r="S230" s="115"/>
      <x:c r="T230" s="117"/>
      <x:c r="U230" s="119"/>
    </x:row>
    <x:row r="231">
      <x:c r="A231" s="139"/>
      <x:c r="B231" s="117"/>
      <x:c r="C231" s="117"/>
      <x:c r="D231" s="117"/>
      <x:c r="E231" s="117"/>
      <x:c r="F231" s="117"/>
      <x:c r="G231" s="117"/>
      <x:c r="H231" s="117"/>
      <x:c r="I231" s="117"/>
      <x:c r="J231" s="118"/>
      <x:c r="K231" s="140"/>
      <x:c r="L231" s="137" t="str">
        <x:f>IF(OR(J231="",K231=""),"",(K231-J231)*1440)</x:f>
      </x:c>
      <x:c r="M231" s="149"/>
      <x:c r="N231" s="150"/>
      <x:c r="O231" s="150"/>
      <x:c r="P231" s="150"/>
      <x:c r="Q231" s="151"/>
      <x:c r="R231" s="148" t="str">
        <x:f>IF(OR(Q231="",'Setup &amp; Lists'!$B$8=""),"",Q231*'Setup &amp; Lists'!$B$8)</x:f>
      </x:c>
      <x:c r="S231" s="115"/>
      <x:c r="T231" s="117"/>
      <x:c r="U231" s="119"/>
    </x:row>
    <x:row r="232">
      <x:c r="A232" s="139"/>
      <x:c r="B232" s="117"/>
      <x:c r="C232" s="117"/>
      <x:c r="D232" s="117"/>
      <x:c r="E232" s="117"/>
      <x:c r="F232" s="117"/>
      <x:c r="G232" s="117"/>
      <x:c r="H232" s="117"/>
      <x:c r="I232" s="117"/>
      <x:c r="J232" s="118"/>
      <x:c r="K232" s="140"/>
      <x:c r="L232" s="137" t="str">
        <x:f>IF(OR(J232="",K232=""),"",(K232-J232)*1440)</x:f>
      </x:c>
      <x:c r="M232" s="149"/>
      <x:c r="N232" s="150"/>
      <x:c r="O232" s="150"/>
      <x:c r="P232" s="150"/>
      <x:c r="Q232" s="151"/>
      <x:c r="R232" s="148" t="str">
        <x:f>IF(OR(Q232="",'Setup &amp; Lists'!$B$8=""),"",Q232*'Setup &amp; Lists'!$B$8)</x:f>
      </x:c>
      <x:c r="S232" s="115"/>
      <x:c r="T232" s="117"/>
      <x:c r="U232" s="119"/>
    </x:row>
    <x:row r="233">
      <x:c r="A233" s="139"/>
      <x:c r="B233" s="117"/>
      <x:c r="C233" s="117"/>
      <x:c r="D233" s="117"/>
      <x:c r="E233" s="117"/>
      <x:c r="F233" s="117"/>
      <x:c r="G233" s="117"/>
      <x:c r="H233" s="117"/>
      <x:c r="I233" s="117"/>
      <x:c r="J233" s="118"/>
      <x:c r="K233" s="140"/>
      <x:c r="L233" s="137" t="str">
        <x:f>IF(OR(J233="",K233=""),"",(K233-J233)*1440)</x:f>
      </x:c>
      <x:c r="M233" s="149"/>
      <x:c r="N233" s="150"/>
      <x:c r="O233" s="150"/>
      <x:c r="P233" s="150"/>
      <x:c r="Q233" s="151"/>
      <x:c r="R233" s="148" t="str">
        <x:f>IF(OR(Q233="",'Setup &amp; Lists'!$B$8=""),"",Q233*'Setup &amp; Lists'!$B$8)</x:f>
      </x:c>
      <x:c r="S233" s="115"/>
      <x:c r="T233" s="117"/>
      <x:c r="U233" s="119"/>
    </x:row>
    <x:row r="234">
      <x:c r="A234" s="139"/>
      <x:c r="B234" s="117"/>
      <x:c r="C234" s="117"/>
      <x:c r="D234" s="117"/>
      <x:c r="E234" s="117"/>
      <x:c r="F234" s="117"/>
      <x:c r="G234" s="117"/>
      <x:c r="H234" s="117"/>
      <x:c r="I234" s="117"/>
      <x:c r="J234" s="118"/>
      <x:c r="K234" s="140"/>
      <x:c r="L234" s="137" t="str">
        <x:f>IF(OR(J234="",K234=""),"",(K234-J234)*1440)</x:f>
      </x:c>
      <x:c r="M234" s="149"/>
      <x:c r="N234" s="150"/>
      <x:c r="O234" s="150"/>
      <x:c r="P234" s="150"/>
      <x:c r="Q234" s="151"/>
      <x:c r="R234" s="148" t="str">
        <x:f>IF(OR(Q234="",'Setup &amp; Lists'!$B$8=""),"",Q234*'Setup &amp; Lists'!$B$8)</x:f>
      </x:c>
      <x:c r="S234" s="115"/>
      <x:c r="T234" s="117"/>
      <x:c r="U234" s="119"/>
    </x:row>
    <x:row r="235">
      <x:c r="A235" s="139"/>
      <x:c r="B235" s="117"/>
      <x:c r="C235" s="117"/>
      <x:c r="D235" s="117"/>
      <x:c r="E235" s="117"/>
      <x:c r="F235" s="117"/>
      <x:c r="G235" s="117"/>
      <x:c r="H235" s="117"/>
      <x:c r="I235" s="117"/>
      <x:c r="J235" s="118"/>
      <x:c r="K235" s="140"/>
      <x:c r="L235" s="137" t="str">
        <x:f>IF(OR(J235="",K235=""),"",(K235-J235)*1440)</x:f>
      </x:c>
      <x:c r="M235" s="149"/>
      <x:c r="N235" s="150"/>
      <x:c r="O235" s="150"/>
      <x:c r="P235" s="150"/>
      <x:c r="Q235" s="151"/>
      <x:c r="R235" s="148" t="str">
        <x:f>IF(OR(Q235="",'Setup &amp; Lists'!$B$8=""),"",Q235*'Setup &amp; Lists'!$B$8)</x:f>
      </x:c>
      <x:c r="S235" s="115"/>
      <x:c r="T235" s="117"/>
      <x:c r="U235" s="119"/>
    </x:row>
    <x:row r="236">
      <x:c r="A236" s="139"/>
      <x:c r="B236" s="117"/>
      <x:c r="C236" s="117"/>
      <x:c r="D236" s="117"/>
      <x:c r="E236" s="117"/>
      <x:c r="F236" s="117"/>
      <x:c r="G236" s="117"/>
      <x:c r="H236" s="117"/>
      <x:c r="I236" s="117"/>
      <x:c r="J236" s="118"/>
      <x:c r="K236" s="140"/>
      <x:c r="L236" s="137" t="str">
        <x:f>IF(OR(J236="",K236=""),"",(K236-J236)*1440)</x:f>
      </x:c>
      <x:c r="M236" s="149"/>
      <x:c r="N236" s="150"/>
      <x:c r="O236" s="150"/>
      <x:c r="P236" s="150"/>
      <x:c r="Q236" s="151"/>
      <x:c r="R236" s="148" t="str">
        <x:f>IF(OR(Q236="",'Setup &amp; Lists'!$B$8=""),"",Q236*'Setup &amp; Lists'!$B$8)</x:f>
      </x:c>
      <x:c r="S236" s="115"/>
      <x:c r="T236" s="117"/>
      <x:c r="U236" s="119"/>
    </x:row>
    <x:row r="237">
      <x:c r="A237" s="139"/>
      <x:c r="B237" s="117"/>
      <x:c r="C237" s="117"/>
      <x:c r="D237" s="117"/>
      <x:c r="E237" s="117"/>
      <x:c r="F237" s="117"/>
      <x:c r="G237" s="117"/>
      <x:c r="H237" s="117"/>
      <x:c r="I237" s="117"/>
      <x:c r="J237" s="118"/>
      <x:c r="K237" s="140"/>
      <x:c r="L237" s="137" t="str">
        <x:f>IF(OR(J237="",K237=""),"",(K237-J237)*1440)</x:f>
      </x:c>
      <x:c r="M237" s="149"/>
      <x:c r="N237" s="150"/>
      <x:c r="O237" s="150"/>
      <x:c r="P237" s="150"/>
      <x:c r="Q237" s="151"/>
      <x:c r="R237" s="148" t="str">
        <x:f>IF(OR(Q237="",'Setup &amp; Lists'!$B$8=""),"",Q237*'Setup &amp; Lists'!$B$8)</x:f>
      </x:c>
      <x:c r="S237" s="115"/>
      <x:c r="T237" s="117"/>
      <x:c r="U237" s="119"/>
    </x:row>
    <x:row r="238">
      <x:c r="A238" s="139"/>
      <x:c r="B238" s="117"/>
      <x:c r="C238" s="117"/>
      <x:c r="D238" s="117"/>
      <x:c r="E238" s="117"/>
      <x:c r="F238" s="117"/>
      <x:c r="G238" s="117"/>
      <x:c r="H238" s="117"/>
      <x:c r="I238" s="117"/>
      <x:c r="J238" s="118"/>
      <x:c r="K238" s="140"/>
      <x:c r="L238" s="137" t="str">
        <x:f>IF(OR(J238="",K238=""),"",(K238-J238)*1440)</x:f>
      </x:c>
      <x:c r="M238" s="149"/>
      <x:c r="N238" s="150"/>
      <x:c r="O238" s="150"/>
      <x:c r="P238" s="150"/>
      <x:c r="Q238" s="151"/>
      <x:c r="R238" s="148" t="str">
        <x:f>IF(OR(Q238="",'Setup &amp; Lists'!$B$8=""),"",Q238*'Setup &amp; Lists'!$B$8)</x:f>
      </x:c>
      <x:c r="S238" s="115"/>
      <x:c r="T238" s="117"/>
      <x:c r="U238" s="119"/>
    </x:row>
    <x:row r="239">
      <x:c r="A239" s="139"/>
      <x:c r="B239" s="117"/>
      <x:c r="C239" s="117"/>
      <x:c r="D239" s="117"/>
      <x:c r="E239" s="117"/>
      <x:c r="F239" s="117"/>
      <x:c r="G239" s="117"/>
      <x:c r="H239" s="117"/>
      <x:c r="I239" s="117"/>
      <x:c r="J239" s="118"/>
      <x:c r="K239" s="140"/>
      <x:c r="L239" s="137" t="str">
        <x:f>IF(OR(J239="",K239=""),"",(K239-J239)*1440)</x:f>
      </x:c>
      <x:c r="M239" s="149"/>
      <x:c r="N239" s="150"/>
      <x:c r="O239" s="150"/>
      <x:c r="P239" s="150"/>
      <x:c r="Q239" s="151"/>
      <x:c r="R239" s="148" t="str">
        <x:f>IF(OR(Q239="",'Setup &amp; Lists'!$B$8=""),"",Q239*'Setup &amp; Lists'!$B$8)</x:f>
      </x:c>
      <x:c r="S239" s="115"/>
      <x:c r="T239" s="117"/>
      <x:c r="U239" s="119"/>
    </x:row>
    <x:row r="240">
      <x:c r="A240" s="139"/>
      <x:c r="B240" s="117"/>
      <x:c r="C240" s="117"/>
      <x:c r="D240" s="117"/>
      <x:c r="E240" s="117"/>
      <x:c r="F240" s="117"/>
      <x:c r="G240" s="117"/>
      <x:c r="H240" s="117"/>
      <x:c r="I240" s="117"/>
      <x:c r="J240" s="118"/>
      <x:c r="K240" s="140"/>
      <x:c r="L240" s="137" t="str">
        <x:f>IF(OR(J240="",K240=""),"",(K240-J240)*1440)</x:f>
      </x:c>
      <x:c r="M240" s="149"/>
      <x:c r="N240" s="150"/>
      <x:c r="O240" s="150"/>
      <x:c r="P240" s="150"/>
      <x:c r="Q240" s="151"/>
      <x:c r="R240" s="148" t="str">
        <x:f>IF(OR(Q240="",'Setup &amp; Lists'!$B$8=""),"",Q240*'Setup &amp; Lists'!$B$8)</x:f>
      </x:c>
      <x:c r="S240" s="115"/>
      <x:c r="T240" s="117"/>
      <x:c r="U240" s="119"/>
    </x:row>
    <x:row r="241">
      <x:c r="A241" s="139"/>
      <x:c r="B241" s="117"/>
      <x:c r="C241" s="117"/>
      <x:c r="D241" s="117"/>
      <x:c r="E241" s="117"/>
      <x:c r="F241" s="117"/>
      <x:c r="G241" s="117"/>
      <x:c r="H241" s="117"/>
      <x:c r="I241" s="117"/>
      <x:c r="J241" s="118"/>
      <x:c r="K241" s="140"/>
      <x:c r="L241" s="137" t="str">
        <x:f>IF(OR(J241="",K241=""),"",(K241-J241)*1440)</x:f>
      </x:c>
      <x:c r="M241" s="149"/>
      <x:c r="N241" s="150"/>
      <x:c r="O241" s="150"/>
      <x:c r="P241" s="150"/>
      <x:c r="Q241" s="151"/>
      <x:c r="R241" s="148" t="str">
        <x:f>IF(OR(Q241="",'Setup &amp; Lists'!$B$8=""),"",Q241*'Setup &amp; Lists'!$B$8)</x:f>
      </x:c>
      <x:c r="S241" s="115"/>
      <x:c r="T241" s="117"/>
      <x:c r="U241" s="119"/>
    </x:row>
    <x:row r="242">
      <x:c r="A242" s="139"/>
      <x:c r="B242" s="117"/>
      <x:c r="C242" s="117"/>
      <x:c r="D242" s="117"/>
      <x:c r="E242" s="117"/>
      <x:c r="F242" s="117"/>
      <x:c r="G242" s="117"/>
      <x:c r="H242" s="117"/>
      <x:c r="I242" s="117"/>
      <x:c r="J242" s="118"/>
      <x:c r="K242" s="140"/>
      <x:c r="L242" s="137" t="str">
        <x:f>IF(OR(J242="",K242=""),"",(K242-J242)*1440)</x:f>
      </x:c>
      <x:c r="M242" s="149"/>
      <x:c r="N242" s="150"/>
      <x:c r="O242" s="150"/>
      <x:c r="P242" s="150"/>
      <x:c r="Q242" s="151"/>
      <x:c r="R242" s="148" t="str">
        <x:f>IF(OR(Q242="",'Setup &amp; Lists'!$B$8=""),"",Q242*'Setup &amp; Lists'!$B$8)</x:f>
      </x:c>
      <x:c r="S242" s="115"/>
      <x:c r="T242" s="117"/>
      <x:c r="U242" s="119"/>
    </x:row>
    <x:row r="243">
      <x:c r="A243" s="139"/>
      <x:c r="B243" s="117"/>
      <x:c r="C243" s="117"/>
      <x:c r="D243" s="117"/>
      <x:c r="E243" s="117"/>
      <x:c r="F243" s="117"/>
      <x:c r="G243" s="117"/>
      <x:c r="H243" s="117"/>
      <x:c r="I243" s="117"/>
      <x:c r="J243" s="118"/>
      <x:c r="K243" s="140"/>
      <x:c r="L243" s="137" t="str">
        <x:f>IF(OR(J243="",K243=""),"",(K243-J243)*1440)</x:f>
      </x:c>
      <x:c r="M243" s="149"/>
      <x:c r="N243" s="150"/>
      <x:c r="O243" s="150"/>
      <x:c r="P243" s="150"/>
      <x:c r="Q243" s="151"/>
      <x:c r="R243" s="148" t="str">
        <x:f>IF(OR(Q243="",'Setup &amp; Lists'!$B$8=""),"",Q243*'Setup &amp; Lists'!$B$8)</x:f>
      </x:c>
      <x:c r="S243" s="115"/>
      <x:c r="T243" s="117"/>
      <x:c r="U243" s="119"/>
    </x:row>
    <x:row r="244">
      <x:c r="A244" s="139"/>
      <x:c r="B244" s="117"/>
      <x:c r="C244" s="117"/>
      <x:c r="D244" s="117"/>
      <x:c r="E244" s="117"/>
      <x:c r="F244" s="117"/>
      <x:c r="G244" s="117"/>
      <x:c r="H244" s="117"/>
      <x:c r="I244" s="117"/>
      <x:c r="J244" s="118"/>
      <x:c r="K244" s="140"/>
      <x:c r="L244" s="137" t="str">
        <x:f>IF(OR(J244="",K244=""),"",(K244-J244)*1440)</x:f>
      </x:c>
      <x:c r="M244" s="149"/>
      <x:c r="N244" s="150"/>
      <x:c r="O244" s="150"/>
      <x:c r="P244" s="150"/>
      <x:c r="Q244" s="151"/>
      <x:c r="R244" s="148" t="str">
        <x:f>IF(OR(Q244="",'Setup &amp; Lists'!$B$8=""),"",Q244*'Setup &amp; Lists'!$B$8)</x:f>
      </x:c>
      <x:c r="S244" s="115"/>
      <x:c r="T244" s="117"/>
      <x:c r="U244" s="119"/>
    </x:row>
    <x:row r="245">
      <x:c r="A245" s="139"/>
      <x:c r="B245" s="117"/>
      <x:c r="C245" s="117"/>
      <x:c r="D245" s="117"/>
      <x:c r="E245" s="117"/>
      <x:c r="F245" s="117"/>
      <x:c r="G245" s="117"/>
      <x:c r="H245" s="117"/>
      <x:c r="I245" s="117"/>
      <x:c r="J245" s="118"/>
      <x:c r="K245" s="140"/>
      <x:c r="L245" s="137" t="str">
        <x:f>IF(OR(J245="",K245=""),"",(K245-J245)*1440)</x:f>
      </x:c>
      <x:c r="M245" s="149"/>
      <x:c r="N245" s="150"/>
      <x:c r="O245" s="150"/>
      <x:c r="P245" s="150"/>
      <x:c r="Q245" s="151"/>
      <x:c r="R245" s="148" t="str">
        <x:f>IF(OR(Q245="",'Setup &amp; Lists'!$B$8=""),"",Q245*'Setup &amp; Lists'!$B$8)</x:f>
      </x:c>
      <x:c r="S245" s="115"/>
      <x:c r="T245" s="117"/>
      <x:c r="U245" s="119"/>
    </x:row>
    <x:row r="246">
      <x:c r="A246" s="139"/>
      <x:c r="B246" s="117"/>
      <x:c r="C246" s="117"/>
      <x:c r="D246" s="117"/>
      <x:c r="E246" s="117"/>
      <x:c r="F246" s="117"/>
      <x:c r="G246" s="117"/>
      <x:c r="H246" s="117"/>
      <x:c r="I246" s="117"/>
      <x:c r="J246" s="118"/>
      <x:c r="K246" s="140"/>
      <x:c r="L246" s="137" t="str">
        <x:f>IF(OR(J246="",K246=""),"",(K246-J246)*1440)</x:f>
      </x:c>
      <x:c r="M246" s="149"/>
      <x:c r="N246" s="150"/>
      <x:c r="O246" s="150"/>
      <x:c r="P246" s="150"/>
      <x:c r="Q246" s="151"/>
      <x:c r="R246" s="148" t="str">
        <x:f>IF(OR(Q246="",'Setup &amp; Lists'!$B$8=""),"",Q246*'Setup &amp; Lists'!$B$8)</x:f>
      </x:c>
      <x:c r="S246" s="115"/>
      <x:c r="T246" s="117"/>
      <x:c r="U246" s="119"/>
    </x:row>
    <x:row r="247">
      <x:c r="A247" s="139"/>
      <x:c r="B247" s="117"/>
      <x:c r="C247" s="117"/>
      <x:c r="D247" s="117"/>
      <x:c r="E247" s="117"/>
      <x:c r="F247" s="117"/>
      <x:c r="G247" s="117"/>
      <x:c r="H247" s="117"/>
      <x:c r="I247" s="117"/>
      <x:c r="J247" s="118"/>
      <x:c r="K247" s="140"/>
      <x:c r="L247" s="137" t="str">
        <x:f>IF(OR(J247="",K247=""),"",(K247-J247)*1440)</x:f>
      </x:c>
      <x:c r="M247" s="149"/>
      <x:c r="N247" s="150"/>
      <x:c r="O247" s="150"/>
      <x:c r="P247" s="150"/>
      <x:c r="Q247" s="151"/>
      <x:c r="R247" s="148" t="str">
        <x:f>IF(OR(Q247="",'Setup &amp; Lists'!$B$8=""),"",Q247*'Setup &amp; Lists'!$B$8)</x:f>
      </x:c>
      <x:c r="S247" s="115"/>
      <x:c r="T247" s="117"/>
      <x:c r="U247" s="119"/>
    </x:row>
    <x:row r="248">
      <x:c r="A248" s="139"/>
      <x:c r="B248" s="117"/>
      <x:c r="C248" s="117"/>
      <x:c r="D248" s="117"/>
      <x:c r="E248" s="117"/>
      <x:c r="F248" s="117"/>
      <x:c r="G248" s="117"/>
      <x:c r="H248" s="117"/>
      <x:c r="I248" s="117"/>
      <x:c r="J248" s="118"/>
      <x:c r="K248" s="140"/>
      <x:c r="L248" s="137" t="str">
        <x:f>IF(OR(J248="",K248=""),"",(K248-J248)*1440)</x:f>
      </x:c>
      <x:c r="M248" s="149"/>
      <x:c r="N248" s="150"/>
      <x:c r="O248" s="150"/>
      <x:c r="P248" s="150"/>
      <x:c r="Q248" s="151"/>
      <x:c r="R248" s="148" t="str">
        <x:f>IF(OR(Q248="",'Setup &amp; Lists'!$B$8=""),"",Q248*'Setup &amp; Lists'!$B$8)</x:f>
      </x:c>
      <x:c r="S248" s="115"/>
      <x:c r="T248" s="117"/>
      <x:c r="U248" s="119"/>
    </x:row>
    <x:row r="249">
      <x:c r="A249" s="139"/>
      <x:c r="B249" s="117"/>
      <x:c r="C249" s="117"/>
      <x:c r="D249" s="117"/>
      <x:c r="E249" s="117"/>
      <x:c r="F249" s="117"/>
      <x:c r="G249" s="117"/>
      <x:c r="H249" s="117"/>
      <x:c r="I249" s="117"/>
      <x:c r="J249" s="118"/>
      <x:c r="K249" s="140"/>
      <x:c r="L249" s="137" t="str">
        <x:f>IF(OR(J249="",K249=""),"",(K249-J249)*1440)</x:f>
      </x:c>
      <x:c r="M249" s="149"/>
      <x:c r="N249" s="150"/>
      <x:c r="O249" s="150"/>
      <x:c r="P249" s="150"/>
      <x:c r="Q249" s="151"/>
      <x:c r="R249" s="148" t="str">
        <x:f>IF(OR(Q249="",'Setup &amp; Lists'!$B$8=""),"",Q249*'Setup &amp; Lists'!$B$8)</x:f>
      </x:c>
      <x:c r="S249" s="115"/>
      <x:c r="T249" s="117"/>
      <x:c r="U249" s="119"/>
    </x:row>
    <x:row r="250">
      <x:c r="A250" s="139"/>
      <x:c r="B250" s="117"/>
      <x:c r="C250" s="117"/>
      <x:c r="D250" s="117"/>
      <x:c r="E250" s="117"/>
      <x:c r="F250" s="117"/>
      <x:c r="G250" s="117"/>
      <x:c r="H250" s="117"/>
      <x:c r="I250" s="117"/>
      <x:c r="J250" s="118"/>
      <x:c r="K250" s="140"/>
      <x:c r="L250" s="137" t="str">
        <x:f>IF(OR(J250="",K250=""),"",(K250-J250)*1440)</x:f>
      </x:c>
      <x:c r="M250" s="149"/>
      <x:c r="N250" s="150"/>
      <x:c r="O250" s="150"/>
      <x:c r="P250" s="150"/>
      <x:c r="Q250" s="151"/>
      <x:c r="R250" s="148" t="str">
        <x:f>IF(OR(Q250="",'Setup &amp; Lists'!$B$8=""),"",Q250*'Setup &amp; Lists'!$B$8)</x:f>
      </x:c>
      <x:c r="S250" s="115"/>
      <x:c r="T250" s="117"/>
      <x:c r="U250" s="119"/>
    </x:row>
    <x:row r="251">
      <x:c r="A251" s="139"/>
      <x:c r="B251" s="117"/>
      <x:c r="C251" s="117"/>
      <x:c r="D251" s="117"/>
      <x:c r="E251" s="117"/>
      <x:c r="F251" s="117"/>
      <x:c r="G251" s="117"/>
      <x:c r="H251" s="117"/>
      <x:c r="I251" s="117"/>
      <x:c r="J251" s="118"/>
      <x:c r="K251" s="140"/>
      <x:c r="L251" s="137" t="str">
        <x:f>IF(OR(J251="",K251=""),"",(K251-J251)*1440)</x:f>
      </x:c>
      <x:c r="M251" s="149"/>
      <x:c r="N251" s="150"/>
      <x:c r="O251" s="150"/>
      <x:c r="P251" s="150"/>
      <x:c r="Q251" s="151"/>
      <x:c r="R251" s="148" t="str">
        <x:f>IF(OR(Q251="",'Setup &amp; Lists'!$B$8=""),"",Q251*'Setup &amp; Lists'!$B$8)</x:f>
      </x:c>
      <x:c r="S251" s="115"/>
      <x:c r="T251" s="117"/>
      <x:c r="U251" s="119"/>
    </x:row>
    <x:row r="252">
      <x:c r="A252" s="139"/>
      <x:c r="B252" s="117"/>
      <x:c r="C252" s="117"/>
      <x:c r="D252" s="117"/>
      <x:c r="E252" s="117"/>
      <x:c r="F252" s="117"/>
      <x:c r="G252" s="117"/>
      <x:c r="H252" s="117"/>
      <x:c r="I252" s="117"/>
      <x:c r="J252" s="118"/>
      <x:c r="K252" s="140"/>
      <x:c r="L252" s="137" t="str">
        <x:f>IF(OR(J252="",K252=""),"",(K252-J252)*1440)</x:f>
      </x:c>
      <x:c r="M252" s="149"/>
      <x:c r="N252" s="150"/>
      <x:c r="O252" s="150"/>
      <x:c r="P252" s="150"/>
      <x:c r="Q252" s="151"/>
      <x:c r="R252" s="148" t="str">
        <x:f>IF(OR(Q252="",'Setup &amp; Lists'!$B$8=""),"",Q252*'Setup &amp; Lists'!$B$8)</x:f>
      </x:c>
      <x:c r="S252" s="115"/>
      <x:c r="T252" s="117"/>
      <x:c r="U252" s="119"/>
    </x:row>
    <x:row r="253">
      <x:c r="A253" s="139"/>
      <x:c r="B253" s="117"/>
      <x:c r="C253" s="117"/>
      <x:c r="D253" s="117"/>
      <x:c r="E253" s="117"/>
      <x:c r="F253" s="117"/>
      <x:c r="G253" s="117"/>
      <x:c r="H253" s="117"/>
      <x:c r="I253" s="117"/>
      <x:c r="J253" s="118"/>
      <x:c r="K253" s="140"/>
      <x:c r="L253" s="137" t="str">
        <x:f>IF(OR(J253="",K253=""),"",(K253-J253)*1440)</x:f>
      </x:c>
      <x:c r="M253" s="149"/>
      <x:c r="N253" s="150"/>
      <x:c r="O253" s="150"/>
      <x:c r="P253" s="150"/>
      <x:c r="Q253" s="151"/>
      <x:c r="R253" s="148" t="str">
        <x:f>IF(OR(Q253="",'Setup &amp; Lists'!$B$8=""),"",Q253*'Setup &amp; Lists'!$B$8)</x:f>
      </x:c>
      <x:c r="S253" s="115"/>
      <x:c r="T253" s="117"/>
      <x:c r="U253" s="119"/>
    </x:row>
    <x:row r="254">
      <x:c r="A254" s="139"/>
      <x:c r="B254" s="117"/>
      <x:c r="C254" s="117"/>
      <x:c r="D254" s="117"/>
      <x:c r="E254" s="117"/>
      <x:c r="F254" s="117"/>
      <x:c r="G254" s="117"/>
      <x:c r="H254" s="117"/>
      <x:c r="I254" s="117"/>
      <x:c r="J254" s="118"/>
      <x:c r="K254" s="140"/>
      <x:c r="L254" s="137" t="str">
        <x:f>IF(OR(J254="",K254=""),"",(K254-J254)*1440)</x:f>
      </x:c>
      <x:c r="M254" s="149"/>
      <x:c r="N254" s="150"/>
      <x:c r="O254" s="150"/>
      <x:c r="P254" s="150"/>
      <x:c r="Q254" s="151"/>
      <x:c r="R254" s="148" t="str">
        <x:f>IF(OR(Q254="",'Setup &amp; Lists'!$B$8=""),"",Q254*'Setup &amp; Lists'!$B$8)</x:f>
      </x:c>
      <x:c r="S254" s="115"/>
      <x:c r="T254" s="117"/>
      <x:c r="U254" s="119"/>
    </x:row>
    <x:row r="255">
      <x:c r="A255" s="139"/>
      <x:c r="B255" s="117"/>
      <x:c r="C255" s="117"/>
      <x:c r="D255" s="117"/>
      <x:c r="E255" s="117"/>
      <x:c r="F255" s="117"/>
      <x:c r="G255" s="117"/>
      <x:c r="H255" s="117"/>
      <x:c r="I255" s="117"/>
      <x:c r="J255" s="118"/>
      <x:c r="K255" s="140"/>
      <x:c r="L255" s="137" t="str">
        <x:f>IF(OR(J255="",K255=""),"",(K255-J255)*1440)</x:f>
      </x:c>
      <x:c r="M255" s="149"/>
      <x:c r="N255" s="150"/>
      <x:c r="O255" s="150"/>
      <x:c r="P255" s="150"/>
      <x:c r="Q255" s="151"/>
      <x:c r="R255" s="148" t="str">
        <x:f>IF(OR(Q255="",'Setup &amp; Lists'!$B$8=""),"",Q255*'Setup &amp; Lists'!$B$8)</x:f>
      </x:c>
      <x:c r="S255" s="115"/>
      <x:c r="T255" s="117"/>
      <x:c r="U255" s="119"/>
    </x:row>
    <x:row r="256">
      <x:c r="A256" s="139"/>
      <x:c r="B256" s="117"/>
      <x:c r="C256" s="117"/>
      <x:c r="D256" s="117"/>
      <x:c r="E256" s="117"/>
      <x:c r="F256" s="117"/>
      <x:c r="G256" s="117"/>
      <x:c r="H256" s="117"/>
      <x:c r="I256" s="117"/>
      <x:c r="J256" s="118"/>
      <x:c r="K256" s="140"/>
      <x:c r="L256" s="137" t="str">
        <x:f>IF(OR(J256="",K256=""),"",(K256-J256)*1440)</x:f>
      </x:c>
      <x:c r="M256" s="149"/>
      <x:c r="N256" s="150"/>
      <x:c r="O256" s="150"/>
      <x:c r="P256" s="150"/>
      <x:c r="Q256" s="151"/>
      <x:c r="R256" s="148" t="str">
        <x:f>IF(OR(Q256="",'Setup &amp; Lists'!$B$8=""),"",Q256*'Setup &amp; Lists'!$B$8)</x:f>
      </x:c>
      <x:c r="S256" s="115"/>
      <x:c r="T256" s="117"/>
      <x:c r="U256" s="119"/>
    </x:row>
    <x:row r="257">
      <x:c r="A257" s="139"/>
      <x:c r="B257" s="117"/>
      <x:c r="C257" s="117"/>
      <x:c r="D257" s="117"/>
      <x:c r="E257" s="117"/>
      <x:c r="F257" s="117"/>
      <x:c r="G257" s="117"/>
      <x:c r="H257" s="117"/>
      <x:c r="I257" s="117"/>
      <x:c r="J257" s="118"/>
      <x:c r="K257" s="140"/>
      <x:c r="L257" s="137" t="str">
        <x:f>IF(OR(J257="",K257=""),"",(K257-J257)*1440)</x:f>
      </x:c>
      <x:c r="M257" s="149"/>
      <x:c r="N257" s="150"/>
      <x:c r="O257" s="150"/>
      <x:c r="P257" s="150"/>
      <x:c r="Q257" s="151"/>
      <x:c r="R257" s="148" t="str">
        <x:f>IF(OR(Q257="",'Setup &amp; Lists'!$B$8=""),"",Q257*'Setup &amp; Lists'!$B$8)</x:f>
      </x:c>
      <x:c r="S257" s="115"/>
      <x:c r="T257" s="117"/>
      <x:c r="U257" s="119"/>
    </x:row>
    <x:row r="258">
      <x:c r="A258" s="139"/>
      <x:c r="B258" s="117"/>
      <x:c r="C258" s="117"/>
      <x:c r="D258" s="117"/>
      <x:c r="E258" s="117"/>
      <x:c r="F258" s="117"/>
      <x:c r="G258" s="117"/>
      <x:c r="H258" s="117"/>
      <x:c r="I258" s="117"/>
      <x:c r="J258" s="118"/>
      <x:c r="K258" s="140"/>
      <x:c r="L258" s="137" t="str">
        <x:f>IF(OR(J258="",K258=""),"",(K258-J258)*1440)</x:f>
      </x:c>
      <x:c r="M258" s="149"/>
      <x:c r="N258" s="150"/>
      <x:c r="O258" s="150"/>
      <x:c r="P258" s="150"/>
      <x:c r="Q258" s="151"/>
      <x:c r="R258" s="148" t="str">
        <x:f>IF(OR(Q258="",'Setup &amp; Lists'!$B$8=""),"",Q258*'Setup &amp; Lists'!$B$8)</x:f>
      </x:c>
      <x:c r="S258" s="115"/>
      <x:c r="T258" s="117"/>
      <x:c r="U258" s="119"/>
    </x:row>
    <x:row r="259">
      <x:c r="A259" s="139"/>
      <x:c r="B259" s="117"/>
      <x:c r="C259" s="117"/>
      <x:c r="D259" s="117"/>
      <x:c r="E259" s="117"/>
      <x:c r="F259" s="117"/>
      <x:c r="G259" s="117"/>
      <x:c r="H259" s="117"/>
      <x:c r="I259" s="117"/>
      <x:c r="J259" s="118"/>
      <x:c r="K259" s="140"/>
      <x:c r="L259" s="137" t="str">
        <x:f>IF(OR(J259="",K259=""),"",(K259-J259)*1440)</x:f>
      </x:c>
      <x:c r="M259" s="149"/>
      <x:c r="N259" s="150"/>
      <x:c r="O259" s="150"/>
      <x:c r="P259" s="150"/>
      <x:c r="Q259" s="151"/>
      <x:c r="R259" s="148" t="str">
        <x:f>IF(OR(Q259="",'Setup &amp; Lists'!$B$8=""),"",Q259*'Setup &amp; Lists'!$B$8)</x:f>
      </x:c>
      <x:c r="S259" s="115"/>
      <x:c r="T259" s="117"/>
      <x:c r="U259" s="119"/>
    </x:row>
    <x:row r="260">
      <x:c r="A260" s="139"/>
      <x:c r="B260" s="117"/>
      <x:c r="C260" s="117"/>
      <x:c r="D260" s="117"/>
      <x:c r="E260" s="117"/>
      <x:c r="F260" s="117"/>
      <x:c r="G260" s="117"/>
      <x:c r="H260" s="117"/>
      <x:c r="I260" s="117"/>
      <x:c r="J260" s="118"/>
      <x:c r="K260" s="140"/>
      <x:c r="L260" s="137" t="str">
        <x:f>IF(OR(J260="",K260=""),"",(K260-J260)*1440)</x:f>
      </x:c>
      <x:c r="M260" s="149"/>
      <x:c r="N260" s="150"/>
      <x:c r="O260" s="150"/>
      <x:c r="P260" s="150"/>
      <x:c r="Q260" s="151"/>
      <x:c r="R260" s="148" t="str">
        <x:f>IF(OR(Q260="",'Setup &amp; Lists'!$B$8=""),"",Q260*'Setup &amp; Lists'!$B$8)</x:f>
      </x:c>
      <x:c r="S260" s="115"/>
      <x:c r="T260" s="117"/>
      <x:c r="U260" s="119"/>
    </x:row>
    <x:row r="261">
      <x:c r="A261" s="139"/>
      <x:c r="B261" s="117"/>
      <x:c r="C261" s="117"/>
      <x:c r="D261" s="117"/>
      <x:c r="E261" s="117"/>
      <x:c r="F261" s="117"/>
      <x:c r="G261" s="117"/>
      <x:c r="H261" s="117"/>
      <x:c r="I261" s="117"/>
      <x:c r="J261" s="118"/>
      <x:c r="K261" s="140"/>
      <x:c r="L261" s="137" t="str">
        <x:f>IF(OR(J261="",K261=""),"",(K261-J261)*1440)</x:f>
      </x:c>
      <x:c r="M261" s="149"/>
      <x:c r="N261" s="150"/>
      <x:c r="O261" s="150"/>
      <x:c r="P261" s="150"/>
      <x:c r="Q261" s="151"/>
      <x:c r="R261" s="148" t="str">
        <x:f>IF(OR(Q261="",'Setup &amp; Lists'!$B$8=""),"",Q261*'Setup &amp; Lists'!$B$8)</x:f>
      </x:c>
      <x:c r="S261" s="115"/>
      <x:c r="T261" s="117"/>
      <x:c r="U261" s="119"/>
    </x:row>
    <x:row r="262">
      <x:c r="A262" s="139"/>
      <x:c r="B262" s="117"/>
      <x:c r="C262" s="117"/>
      <x:c r="D262" s="117"/>
      <x:c r="E262" s="117"/>
      <x:c r="F262" s="117"/>
      <x:c r="G262" s="117"/>
      <x:c r="H262" s="117"/>
      <x:c r="I262" s="117"/>
      <x:c r="J262" s="118"/>
      <x:c r="K262" s="140"/>
      <x:c r="L262" s="137" t="str">
        <x:f>IF(OR(J262="",K262=""),"",(K262-J262)*1440)</x:f>
      </x:c>
      <x:c r="M262" s="149"/>
      <x:c r="N262" s="150"/>
      <x:c r="O262" s="150"/>
      <x:c r="P262" s="150"/>
      <x:c r="Q262" s="151"/>
      <x:c r="R262" s="148" t="str">
        <x:f>IF(OR(Q262="",'Setup &amp; Lists'!$B$8=""),"",Q262*'Setup &amp; Lists'!$B$8)</x:f>
      </x:c>
      <x:c r="S262" s="115"/>
      <x:c r="T262" s="117"/>
      <x:c r="U262" s="119"/>
    </x:row>
    <x:row r="263">
      <x:c r="A263" s="139"/>
      <x:c r="B263" s="117"/>
      <x:c r="C263" s="117"/>
      <x:c r="D263" s="117"/>
      <x:c r="E263" s="117"/>
      <x:c r="F263" s="117"/>
      <x:c r="G263" s="117"/>
      <x:c r="H263" s="117"/>
      <x:c r="I263" s="117"/>
      <x:c r="J263" s="118"/>
      <x:c r="K263" s="140"/>
      <x:c r="L263" s="137" t="str">
        <x:f>IF(OR(J263="",K263=""),"",(K263-J263)*1440)</x:f>
      </x:c>
      <x:c r="M263" s="149"/>
      <x:c r="N263" s="150"/>
      <x:c r="O263" s="150"/>
      <x:c r="P263" s="150"/>
      <x:c r="Q263" s="151"/>
      <x:c r="R263" s="148" t="str">
        <x:f>IF(OR(Q263="",'Setup &amp; Lists'!$B$8=""),"",Q263*'Setup &amp; Lists'!$B$8)</x:f>
      </x:c>
      <x:c r="S263" s="115"/>
      <x:c r="T263" s="117"/>
      <x:c r="U263" s="119"/>
    </x:row>
    <x:row r="264">
      <x:c r="A264" s="139"/>
      <x:c r="B264" s="117"/>
      <x:c r="C264" s="117"/>
      <x:c r="D264" s="117"/>
      <x:c r="E264" s="117"/>
      <x:c r="F264" s="117"/>
      <x:c r="G264" s="117"/>
      <x:c r="H264" s="117"/>
      <x:c r="I264" s="117"/>
      <x:c r="J264" s="118"/>
      <x:c r="K264" s="140"/>
      <x:c r="L264" s="137" t="str">
        <x:f>IF(OR(J264="",K264=""),"",(K264-J264)*1440)</x:f>
      </x:c>
      <x:c r="M264" s="149"/>
      <x:c r="N264" s="150"/>
      <x:c r="O264" s="150"/>
      <x:c r="P264" s="150"/>
      <x:c r="Q264" s="151"/>
      <x:c r="R264" s="148" t="str">
        <x:f>IF(OR(Q264="",'Setup &amp; Lists'!$B$8=""),"",Q264*'Setup &amp; Lists'!$B$8)</x:f>
      </x:c>
      <x:c r="S264" s="115"/>
      <x:c r="T264" s="117"/>
      <x:c r="U264" s="119"/>
    </x:row>
    <x:row r="265">
      <x:c r="A265" s="139"/>
      <x:c r="B265" s="117"/>
      <x:c r="C265" s="117"/>
      <x:c r="D265" s="117"/>
      <x:c r="E265" s="117"/>
      <x:c r="F265" s="117"/>
      <x:c r="G265" s="117"/>
      <x:c r="H265" s="117"/>
      <x:c r="I265" s="117"/>
      <x:c r="J265" s="118"/>
      <x:c r="K265" s="140"/>
      <x:c r="L265" s="137" t="str">
        <x:f>IF(OR(J265="",K265=""),"",(K265-J265)*1440)</x:f>
      </x:c>
      <x:c r="M265" s="149"/>
      <x:c r="N265" s="150"/>
      <x:c r="O265" s="150"/>
      <x:c r="P265" s="150"/>
      <x:c r="Q265" s="151"/>
      <x:c r="R265" s="148" t="str">
        <x:f>IF(OR(Q265="",'Setup &amp; Lists'!$B$8=""),"",Q265*'Setup &amp; Lists'!$B$8)</x:f>
      </x:c>
      <x:c r="S265" s="115"/>
      <x:c r="T265" s="117"/>
      <x:c r="U265" s="119"/>
    </x:row>
    <x:row r="266">
      <x:c r="A266" s="139"/>
      <x:c r="B266" s="117"/>
      <x:c r="C266" s="117"/>
      <x:c r="D266" s="117"/>
      <x:c r="E266" s="117"/>
      <x:c r="F266" s="117"/>
      <x:c r="G266" s="117"/>
      <x:c r="H266" s="117"/>
      <x:c r="I266" s="117"/>
      <x:c r="J266" s="118"/>
      <x:c r="K266" s="140"/>
      <x:c r="L266" s="137" t="str">
        <x:f>IF(OR(J266="",K266=""),"",(K266-J266)*1440)</x:f>
      </x:c>
      <x:c r="M266" s="149"/>
      <x:c r="N266" s="150"/>
      <x:c r="O266" s="150"/>
      <x:c r="P266" s="150"/>
      <x:c r="Q266" s="151"/>
      <x:c r="R266" s="148" t="str">
        <x:f>IF(OR(Q266="",'Setup &amp; Lists'!$B$8=""),"",Q266*'Setup &amp; Lists'!$B$8)</x:f>
      </x:c>
      <x:c r="S266" s="115"/>
      <x:c r="T266" s="117"/>
      <x:c r="U266" s="119"/>
    </x:row>
    <x:row r="267">
      <x:c r="A267" s="139"/>
      <x:c r="B267" s="117"/>
      <x:c r="C267" s="117"/>
      <x:c r="D267" s="117"/>
      <x:c r="E267" s="117"/>
      <x:c r="F267" s="117"/>
      <x:c r="G267" s="117"/>
      <x:c r="H267" s="117"/>
      <x:c r="I267" s="117"/>
      <x:c r="J267" s="118"/>
      <x:c r="K267" s="140"/>
      <x:c r="L267" s="137" t="str">
        <x:f>IF(OR(J267="",K267=""),"",(K267-J267)*1440)</x:f>
      </x:c>
      <x:c r="M267" s="149"/>
      <x:c r="N267" s="150"/>
      <x:c r="O267" s="150"/>
      <x:c r="P267" s="150"/>
      <x:c r="Q267" s="151"/>
      <x:c r="R267" s="148" t="str">
        <x:f>IF(OR(Q267="",'Setup &amp; Lists'!$B$8=""),"",Q267*'Setup &amp; Lists'!$B$8)</x:f>
      </x:c>
      <x:c r="S267" s="115"/>
      <x:c r="T267" s="117"/>
      <x:c r="U267" s="119"/>
    </x:row>
    <x:row r="268">
      <x:c r="A268" s="139"/>
      <x:c r="B268" s="117"/>
      <x:c r="C268" s="117"/>
      <x:c r="D268" s="117"/>
      <x:c r="E268" s="117"/>
      <x:c r="F268" s="117"/>
      <x:c r="G268" s="117"/>
      <x:c r="H268" s="117"/>
      <x:c r="I268" s="117"/>
      <x:c r="J268" s="118"/>
      <x:c r="K268" s="140"/>
      <x:c r="L268" s="137" t="str">
        <x:f>IF(OR(J268="",K268=""),"",(K268-J268)*1440)</x:f>
      </x:c>
      <x:c r="M268" s="149"/>
      <x:c r="N268" s="150"/>
      <x:c r="O268" s="150"/>
      <x:c r="P268" s="150"/>
      <x:c r="Q268" s="151"/>
      <x:c r="R268" s="148" t="str">
        <x:f>IF(OR(Q268="",'Setup &amp; Lists'!$B$8=""),"",Q268*'Setup &amp; Lists'!$B$8)</x:f>
      </x:c>
      <x:c r="S268" s="115"/>
      <x:c r="T268" s="117"/>
      <x:c r="U268" s="119"/>
    </x:row>
    <x:row r="269">
      <x:c r="A269" s="139"/>
      <x:c r="B269" s="117"/>
      <x:c r="C269" s="117"/>
      <x:c r="D269" s="117"/>
      <x:c r="E269" s="117"/>
      <x:c r="F269" s="117"/>
      <x:c r="G269" s="117"/>
      <x:c r="H269" s="117"/>
      <x:c r="I269" s="117"/>
      <x:c r="J269" s="118"/>
      <x:c r="K269" s="140"/>
      <x:c r="L269" s="137" t="str">
        <x:f>IF(OR(J269="",K269=""),"",(K269-J269)*1440)</x:f>
      </x:c>
      <x:c r="M269" s="149"/>
      <x:c r="N269" s="150"/>
      <x:c r="O269" s="150"/>
      <x:c r="P269" s="150"/>
      <x:c r="Q269" s="151"/>
      <x:c r="R269" s="148" t="str">
        <x:f>IF(OR(Q269="",'Setup &amp; Lists'!$B$8=""),"",Q269*'Setup &amp; Lists'!$B$8)</x:f>
      </x:c>
      <x:c r="S269" s="115"/>
      <x:c r="T269" s="117"/>
      <x:c r="U269" s="119"/>
    </x:row>
    <x:row r="270">
      <x:c r="A270" s="139"/>
      <x:c r="B270" s="117"/>
      <x:c r="C270" s="117"/>
      <x:c r="D270" s="117"/>
      <x:c r="E270" s="117"/>
      <x:c r="F270" s="117"/>
      <x:c r="G270" s="117"/>
      <x:c r="H270" s="117"/>
      <x:c r="I270" s="117"/>
      <x:c r="J270" s="118"/>
      <x:c r="K270" s="140"/>
      <x:c r="L270" s="137" t="str">
        <x:f>IF(OR(J270="",K270=""),"",(K270-J270)*1440)</x:f>
      </x:c>
      <x:c r="M270" s="149"/>
      <x:c r="N270" s="150"/>
      <x:c r="O270" s="150"/>
      <x:c r="P270" s="150"/>
      <x:c r="Q270" s="151"/>
      <x:c r="R270" s="148" t="str">
        <x:f>IF(OR(Q270="",'Setup &amp; Lists'!$B$8=""),"",Q270*'Setup &amp; Lists'!$B$8)</x:f>
      </x:c>
      <x:c r="S270" s="115"/>
      <x:c r="T270" s="117"/>
      <x:c r="U270" s="119"/>
    </x:row>
    <x:row r="271">
      <x:c r="A271" s="139"/>
      <x:c r="B271" s="117"/>
      <x:c r="C271" s="117"/>
      <x:c r="D271" s="117"/>
      <x:c r="E271" s="117"/>
      <x:c r="F271" s="117"/>
      <x:c r="G271" s="117"/>
      <x:c r="H271" s="117"/>
      <x:c r="I271" s="117"/>
      <x:c r="J271" s="118"/>
      <x:c r="K271" s="140"/>
      <x:c r="L271" s="137" t="str">
        <x:f>IF(OR(J271="",K271=""),"",(K271-J271)*1440)</x:f>
      </x:c>
      <x:c r="M271" s="149"/>
      <x:c r="N271" s="150"/>
      <x:c r="O271" s="150"/>
      <x:c r="P271" s="150"/>
      <x:c r="Q271" s="151"/>
      <x:c r="R271" s="148" t="str">
        <x:f>IF(OR(Q271="",'Setup &amp; Lists'!$B$8=""),"",Q271*'Setup &amp; Lists'!$B$8)</x:f>
      </x:c>
      <x:c r="S271" s="115"/>
      <x:c r="T271" s="117"/>
      <x:c r="U271" s="119"/>
    </x:row>
    <x:row r="272">
      <x:c r="A272" s="139"/>
      <x:c r="B272" s="117"/>
      <x:c r="C272" s="117"/>
      <x:c r="D272" s="117"/>
      <x:c r="E272" s="117"/>
      <x:c r="F272" s="117"/>
      <x:c r="G272" s="117"/>
      <x:c r="H272" s="117"/>
      <x:c r="I272" s="117"/>
      <x:c r="J272" s="118"/>
      <x:c r="K272" s="140"/>
      <x:c r="L272" s="137" t="str">
        <x:f>IF(OR(J272="",K272=""),"",(K272-J272)*1440)</x:f>
      </x:c>
      <x:c r="M272" s="149"/>
      <x:c r="N272" s="150"/>
      <x:c r="O272" s="150"/>
      <x:c r="P272" s="150"/>
      <x:c r="Q272" s="151"/>
      <x:c r="R272" s="148" t="str">
        <x:f>IF(OR(Q272="",'Setup &amp; Lists'!$B$8=""),"",Q272*'Setup &amp; Lists'!$B$8)</x:f>
      </x:c>
      <x:c r="S272" s="115"/>
      <x:c r="T272" s="117"/>
      <x:c r="U272" s="119"/>
    </x:row>
    <x:row r="273">
      <x:c r="A273" s="139"/>
      <x:c r="B273" s="117"/>
      <x:c r="C273" s="117"/>
      <x:c r="D273" s="117"/>
      <x:c r="E273" s="117"/>
      <x:c r="F273" s="117"/>
      <x:c r="G273" s="117"/>
      <x:c r="H273" s="117"/>
      <x:c r="I273" s="117"/>
      <x:c r="J273" s="118"/>
      <x:c r="K273" s="140"/>
      <x:c r="L273" s="137" t="str">
        <x:f>IF(OR(J273="",K273=""),"",(K273-J273)*1440)</x:f>
      </x:c>
      <x:c r="M273" s="149"/>
      <x:c r="N273" s="150"/>
      <x:c r="O273" s="150"/>
      <x:c r="P273" s="150"/>
      <x:c r="Q273" s="151"/>
      <x:c r="R273" s="148" t="str">
        <x:f>IF(OR(Q273="",'Setup &amp; Lists'!$B$8=""),"",Q273*'Setup &amp; Lists'!$B$8)</x:f>
      </x:c>
      <x:c r="S273" s="115"/>
      <x:c r="T273" s="117"/>
      <x:c r="U273" s="119"/>
    </x:row>
    <x:row r="274">
      <x:c r="A274" s="139"/>
      <x:c r="B274" s="117"/>
      <x:c r="C274" s="117"/>
      <x:c r="D274" s="117"/>
      <x:c r="E274" s="117"/>
      <x:c r="F274" s="117"/>
      <x:c r="G274" s="117"/>
      <x:c r="H274" s="117"/>
      <x:c r="I274" s="117"/>
      <x:c r="J274" s="118"/>
      <x:c r="K274" s="140"/>
      <x:c r="L274" s="137" t="str">
        <x:f>IF(OR(J274="",K274=""),"",(K274-J274)*1440)</x:f>
      </x:c>
      <x:c r="M274" s="149"/>
      <x:c r="N274" s="150"/>
      <x:c r="O274" s="150"/>
      <x:c r="P274" s="150"/>
      <x:c r="Q274" s="151"/>
      <x:c r="R274" s="148" t="str">
        <x:f>IF(OR(Q274="",'Setup &amp; Lists'!$B$8=""),"",Q274*'Setup &amp; Lists'!$B$8)</x:f>
      </x:c>
      <x:c r="S274" s="115"/>
      <x:c r="T274" s="117"/>
      <x:c r="U274" s="119"/>
    </x:row>
    <x:row r="275">
      <x:c r="A275" s="139"/>
      <x:c r="B275" s="117"/>
      <x:c r="C275" s="117"/>
      <x:c r="D275" s="117"/>
      <x:c r="E275" s="117"/>
      <x:c r="F275" s="117"/>
      <x:c r="G275" s="117"/>
      <x:c r="H275" s="117"/>
      <x:c r="I275" s="117"/>
      <x:c r="J275" s="118"/>
      <x:c r="K275" s="140"/>
      <x:c r="L275" s="137" t="str">
        <x:f>IF(OR(J275="",K275=""),"",(K275-J275)*1440)</x:f>
      </x:c>
      <x:c r="M275" s="149"/>
      <x:c r="N275" s="150"/>
      <x:c r="O275" s="150"/>
      <x:c r="P275" s="150"/>
      <x:c r="Q275" s="151"/>
      <x:c r="R275" s="148" t="str">
        <x:f>IF(OR(Q275="",'Setup &amp; Lists'!$B$8=""),"",Q275*'Setup &amp; Lists'!$B$8)</x:f>
      </x:c>
      <x:c r="S275" s="115"/>
      <x:c r="T275" s="117"/>
      <x:c r="U275" s="119"/>
    </x:row>
    <x:row r="276">
      <x:c r="A276" s="139"/>
      <x:c r="B276" s="117"/>
      <x:c r="C276" s="117"/>
      <x:c r="D276" s="117"/>
      <x:c r="E276" s="117"/>
      <x:c r="F276" s="117"/>
      <x:c r="G276" s="117"/>
      <x:c r="H276" s="117"/>
      <x:c r="I276" s="117"/>
      <x:c r="J276" s="118"/>
      <x:c r="K276" s="140"/>
      <x:c r="L276" s="137" t="str">
        <x:f>IF(OR(J276="",K276=""),"",(K276-J276)*1440)</x:f>
      </x:c>
      <x:c r="M276" s="149"/>
      <x:c r="N276" s="150"/>
      <x:c r="O276" s="150"/>
      <x:c r="P276" s="150"/>
      <x:c r="Q276" s="151"/>
      <x:c r="R276" s="148" t="str">
        <x:f>IF(OR(Q276="",'Setup &amp; Lists'!$B$8=""),"",Q276*'Setup &amp; Lists'!$B$8)</x:f>
      </x:c>
      <x:c r="S276" s="115"/>
      <x:c r="T276" s="117"/>
      <x:c r="U276" s="119"/>
    </x:row>
    <x:row r="277">
      <x:c r="A277" s="139"/>
      <x:c r="B277" s="117"/>
      <x:c r="C277" s="117"/>
      <x:c r="D277" s="117"/>
      <x:c r="E277" s="117"/>
      <x:c r="F277" s="117"/>
      <x:c r="G277" s="117"/>
      <x:c r="H277" s="117"/>
      <x:c r="I277" s="117"/>
      <x:c r="J277" s="118"/>
      <x:c r="K277" s="140"/>
      <x:c r="L277" s="137" t="str">
        <x:f>IF(OR(J277="",K277=""),"",(K277-J277)*1440)</x:f>
      </x:c>
      <x:c r="M277" s="149"/>
      <x:c r="N277" s="150"/>
      <x:c r="O277" s="150"/>
      <x:c r="P277" s="150"/>
      <x:c r="Q277" s="151"/>
      <x:c r="R277" s="148" t="str">
        <x:f>IF(OR(Q277="",'Setup &amp; Lists'!$B$8=""),"",Q277*'Setup &amp; Lists'!$B$8)</x:f>
      </x:c>
      <x:c r="S277" s="115"/>
      <x:c r="T277" s="117"/>
      <x:c r="U277" s="119"/>
    </x:row>
    <x:row r="278">
      <x:c r="A278" s="139"/>
      <x:c r="B278" s="117"/>
      <x:c r="C278" s="117"/>
      <x:c r="D278" s="117"/>
      <x:c r="E278" s="117"/>
      <x:c r="F278" s="117"/>
      <x:c r="G278" s="117"/>
      <x:c r="H278" s="117"/>
      <x:c r="I278" s="117"/>
      <x:c r="J278" s="118"/>
      <x:c r="K278" s="140"/>
      <x:c r="L278" s="137" t="str">
        <x:f>IF(OR(J278="",K278=""),"",(K278-J278)*1440)</x:f>
      </x:c>
      <x:c r="M278" s="149"/>
      <x:c r="N278" s="150"/>
      <x:c r="O278" s="150"/>
      <x:c r="P278" s="150"/>
      <x:c r="Q278" s="151"/>
      <x:c r="R278" s="148" t="str">
        <x:f>IF(OR(Q278="",'Setup &amp; Lists'!$B$8=""),"",Q278*'Setup &amp; Lists'!$B$8)</x:f>
      </x:c>
      <x:c r="S278" s="115"/>
      <x:c r="T278" s="117"/>
      <x:c r="U278" s="119"/>
    </x:row>
    <x:row r="279">
      <x:c r="A279" s="139"/>
      <x:c r="B279" s="117"/>
      <x:c r="C279" s="117"/>
      <x:c r="D279" s="117"/>
      <x:c r="E279" s="117"/>
      <x:c r="F279" s="117"/>
      <x:c r="G279" s="117"/>
      <x:c r="H279" s="117"/>
      <x:c r="I279" s="117"/>
      <x:c r="J279" s="118"/>
      <x:c r="K279" s="140"/>
      <x:c r="L279" s="137" t="str">
        <x:f>IF(OR(J279="",K279=""),"",(K279-J279)*1440)</x:f>
      </x:c>
      <x:c r="M279" s="149"/>
      <x:c r="N279" s="150"/>
      <x:c r="O279" s="150"/>
      <x:c r="P279" s="150"/>
      <x:c r="Q279" s="151"/>
      <x:c r="R279" s="148" t="str">
        <x:f>IF(OR(Q279="",'Setup &amp; Lists'!$B$8=""),"",Q279*'Setup &amp; Lists'!$B$8)</x:f>
      </x:c>
      <x:c r="S279" s="115"/>
      <x:c r="T279" s="117"/>
      <x:c r="U279" s="119"/>
    </x:row>
    <x:row r="280">
      <x:c r="A280" s="139"/>
      <x:c r="B280" s="117"/>
      <x:c r="C280" s="117"/>
      <x:c r="D280" s="117"/>
      <x:c r="E280" s="117"/>
      <x:c r="F280" s="117"/>
      <x:c r="G280" s="117"/>
      <x:c r="H280" s="117"/>
      <x:c r="I280" s="117"/>
      <x:c r="J280" s="118"/>
      <x:c r="K280" s="140"/>
      <x:c r="L280" s="137" t="str">
        <x:f>IF(OR(J280="",K280=""),"",(K280-J280)*1440)</x:f>
      </x:c>
      <x:c r="M280" s="149"/>
      <x:c r="N280" s="150"/>
      <x:c r="O280" s="150"/>
      <x:c r="P280" s="150"/>
      <x:c r="Q280" s="151"/>
      <x:c r="R280" s="148" t="str">
        <x:f>IF(OR(Q280="",'Setup &amp; Lists'!$B$8=""),"",Q280*'Setup &amp; Lists'!$B$8)</x:f>
      </x:c>
      <x:c r="S280" s="115"/>
      <x:c r="T280" s="117"/>
      <x:c r="U280" s="119"/>
    </x:row>
    <x:row r="281">
      <x:c r="A281" s="139"/>
      <x:c r="B281" s="117"/>
      <x:c r="C281" s="117"/>
      <x:c r="D281" s="117"/>
      <x:c r="E281" s="117"/>
      <x:c r="F281" s="117"/>
      <x:c r="G281" s="117"/>
      <x:c r="H281" s="117"/>
      <x:c r="I281" s="117"/>
      <x:c r="J281" s="118"/>
      <x:c r="K281" s="140"/>
      <x:c r="L281" s="137" t="str">
        <x:f>IF(OR(J281="",K281=""),"",(K281-J281)*1440)</x:f>
      </x:c>
      <x:c r="M281" s="149"/>
      <x:c r="N281" s="150"/>
      <x:c r="O281" s="150"/>
      <x:c r="P281" s="150"/>
      <x:c r="Q281" s="151"/>
      <x:c r="R281" s="148" t="str">
        <x:f>IF(OR(Q281="",'Setup &amp; Lists'!$B$8=""),"",Q281*'Setup &amp; Lists'!$B$8)</x:f>
      </x:c>
      <x:c r="S281" s="115"/>
      <x:c r="T281" s="117"/>
      <x:c r="U281" s="119"/>
    </x:row>
    <x:row r="282">
      <x:c r="A282" s="139"/>
      <x:c r="B282" s="117"/>
      <x:c r="C282" s="117"/>
      <x:c r="D282" s="117"/>
      <x:c r="E282" s="117"/>
      <x:c r="F282" s="117"/>
      <x:c r="G282" s="117"/>
      <x:c r="H282" s="117"/>
      <x:c r="I282" s="117"/>
      <x:c r="J282" s="118"/>
      <x:c r="K282" s="140"/>
      <x:c r="L282" s="137" t="str">
        <x:f>IF(OR(J282="",K282=""),"",(K282-J282)*1440)</x:f>
      </x:c>
      <x:c r="M282" s="149"/>
      <x:c r="N282" s="150"/>
      <x:c r="O282" s="150"/>
      <x:c r="P282" s="150"/>
      <x:c r="Q282" s="151"/>
      <x:c r="R282" s="148" t="str">
        <x:f>IF(OR(Q282="",'Setup &amp; Lists'!$B$8=""),"",Q282*'Setup &amp; Lists'!$B$8)</x:f>
      </x:c>
      <x:c r="S282" s="115"/>
      <x:c r="T282" s="117"/>
      <x:c r="U282" s="119"/>
    </x:row>
    <x:row r="283">
      <x:c r="A283" s="139"/>
      <x:c r="B283" s="117"/>
      <x:c r="C283" s="117"/>
      <x:c r="D283" s="117"/>
      <x:c r="E283" s="117"/>
      <x:c r="F283" s="117"/>
      <x:c r="G283" s="117"/>
      <x:c r="H283" s="117"/>
      <x:c r="I283" s="117"/>
      <x:c r="J283" s="118"/>
      <x:c r="K283" s="140"/>
      <x:c r="L283" s="137" t="str">
        <x:f>IF(OR(J283="",K283=""),"",(K283-J283)*1440)</x:f>
      </x:c>
      <x:c r="M283" s="149"/>
      <x:c r="N283" s="150"/>
      <x:c r="O283" s="150"/>
      <x:c r="P283" s="150"/>
      <x:c r="Q283" s="151"/>
      <x:c r="R283" s="148" t="str">
        <x:f>IF(OR(Q283="",'Setup &amp; Lists'!$B$8=""),"",Q283*'Setup &amp; Lists'!$B$8)</x:f>
      </x:c>
      <x:c r="S283" s="115"/>
      <x:c r="T283" s="117"/>
      <x:c r="U283" s="119"/>
    </x:row>
    <x:row r="284">
      <x:c r="A284" s="139"/>
      <x:c r="B284" s="117"/>
      <x:c r="C284" s="117"/>
      <x:c r="D284" s="117"/>
      <x:c r="E284" s="117"/>
      <x:c r="F284" s="117"/>
      <x:c r="G284" s="117"/>
      <x:c r="H284" s="117"/>
      <x:c r="I284" s="117"/>
      <x:c r="J284" s="118"/>
      <x:c r="K284" s="140"/>
      <x:c r="L284" s="137" t="str">
        <x:f>IF(OR(J284="",K284=""),"",(K284-J284)*1440)</x:f>
      </x:c>
      <x:c r="M284" s="149"/>
      <x:c r="N284" s="150"/>
      <x:c r="O284" s="150"/>
      <x:c r="P284" s="150"/>
      <x:c r="Q284" s="151"/>
      <x:c r="R284" s="148" t="str">
        <x:f>IF(OR(Q284="",'Setup &amp; Lists'!$B$8=""),"",Q284*'Setup &amp; Lists'!$B$8)</x:f>
      </x:c>
      <x:c r="S284" s="115"/>
      <x:c r="T284" s="117"/>
      <x:c r="U284" s="119"/>
    </x:row>
    <x:row r="285">
      <x:c r="A285" s="139"/>
      <x:c r="B285" s="117"/>
      <x:c r="C285" s="117"/>
      <x:c r="D285" s="117"/>
      <x:c r="E285" s="117"/>
      <x:c r="F285" s="117"/>
      <x:c r="G285" s="117"/>
      <x:c r="H285" s="117"/>
      <x:c r="I285" s="117"/>
      <x:c r="J285" s="118"/>
      <x:c r="K285" s="140"/>
      <x:c r="L285" s="137" t="str">
        <x:f>IF(OR(J285="",K285=""),"",(K285-J285)*1440)</x:f>
      </x:c>
      <x:c r="M285" s="149"/>
      <x:c r="N285" s="150"/>
      <x:c r="O285" s="150"/>
      <x:c r="P285" s="150"/>
      <x:c r="Q285" s="151"/>
      <x:c r="R285" s="148" t="str">
        <x:f>IF(OR(Q285="",'Setup &amp; Lists'!$B$8=""),"",Q285*'Setup &amp; Lists'!$B$8)</x:f>
      </x:c>
      <x:c r="S285" s="115"/>
      <x:c r="T285" s="117"/>
      <x:c r="U285" s="119"/>
    </x:row>
    <x:row r="286">
      <x:c r="A286" s="139"/>
      <x:c r="B286" s="117"/>
      <x:c r="C286" s="117"/>
      <x:c r="D286" s="117"/>
      <x:c r="E286" s="117"/>
      <x:c r="F286" s="117"/>
      <x:c r="G286" s="117"/>
      <x:c r="H286" s="117"/>
      <x:c r="I286" s="117"/>
      <x:c r="J286" s="118"/>
      <x:c r="K286" s="140"/>
      <x:c r="L286" s="137" t="str">
        <x:f>IF(OR(J286="",K286=""),"",(K286-J286)*1440)</x:f>
      </x:c>
      <x:c r="M286" s="149"/>
      <x:c r="N286" s="150"/>
      <x:c r="O286" s="150"/>
      <x:c r="P286" s="150"/>
      <x:c r="Q286" s="151"/>
      <x:c r="R286" s="148" t="str">
        <x:f>IF(OR(Q286="",'Setup &amp; Lists'!$B$8=""),"",Q286*'Setup &amp; Lists'!$B$8)</x:f>
      </x:c>
      <x:c r="S286" s="115"/>
      <x:c r="T286" s="117"/>
      <x:c r="U286" s="119"/>
    </x:row>
    <x:row r="287">
      <x:c r="A287" s="139"/>
      <x:c r="B287" s="117"/>
      <x:c r="C287" s="117"/>
      <x:c r="D287" s="117"/>
      <x:c r="E287" s="117"/>
      <x:c r="F287" s="117"/>
      <x:c r="G287" s="117"/>
      <x:c r="H287" s="117"/>
      <x:c r="I287" s="117"/>
      <x:c r="J287" s="118"/>
      <x:c r="K287" s="140"/>
      <x:c r="L287" s="137" t="str">
        <x:f>IF(OR(J287="",K287=""),"",(K287-J287)*1440)</x:f>
      </x:c>
      <x:c r="M287" s="149"/>
      <x:c r="N287" s="150"/>
      <x:c r="O287" s="150"/>
      <x:c r="P287" s="150"/>
      <x:c r="Q287" s="151"/>
      <x:c r="R287" s="148" t="str">
        <x:f>IF(OR(Q287="",'Setup &amp; Lists'!$B$8=""),"",Q287*'Setup &amp; Lists'!$B$8)</x:f>
      </x:c>
      <x:c r="S287" s="115"/>
      <x:c r="T287" s="117"/>
      <x:c r="U287" s="119"/>
    </x:row>
    <x:row r="288">
      <x:c r="A288" s="139"/>
      <x:c r="B288" s="117"/>
      <x:c r="C288" s="117"/>
      <x:c r="D288" s="117"/>
      <x:c r="E288" s="117"/>
      <x:c r="F288" s="117"/>
      <x:c r="G288" s="117"/>
      <x:c r="H288" s="117"/>
      <x:c r="I288" s="117"/>
      <x:c r="J288" s="118"/>
      <x:c r="K288" s="140"/>
      <x:c r="L288" s="137" t="str">
        <x:f>IF(OR(J288="",K288=""),"",(K288-J288)*1440)</x:f>
      </x:c>
      <x:c r="M288" s="149"/>
      <x:c r="N288" s="150"/>
      <x:c r="O288" s="150"/>
      <x:c r="P288" s="150"/>
      <x:c r="Q288" s="151"/>
      <x:c r="R288" s="148" t="str">
        <x:f>IF(OR(Q288="",'Setup &amp; Lists'!$B$8=""),"",Q288*'Setup &amp; Lists'!$B$8)</x:f>
      </x:c>
      <x:c r="S288" s="115"/>
      <x:c r="T288" s="117"/>
      <x:c r="U288" s="119"/>
    </x:row>
    <x:row r="289">
      <x:c r="A289" s="139"/>
      <x:c r="B289" s="117"/>
      <x:c r="C289" s="117"/>
      <x:c r="D289" s="117"/>
      <x:c r="E289" s="117"/>
      <x:c r="F289" s="117"/>
      <x:c r="G289" s="117"/>
      <x:c r="H289" s="117"/>
      <x:c r="I289" s="117"/>
      <x:c r="J289" s="118"/>
      <x:c r="K289" s="140"/>
      <x:c r="L289" s="137" t="str">
        <x:f>IF(OR(J289="",K289=""),"",(K289-J289)*1440)</x:f>
      </x:c>
      <x:c r="M289" s="149"/>
      <x:c r="N289" s="150"/>
      <x:c r="O289" s="150"/>
      <x:c r="P289" s="150"/>
      <x:c r="Q289" s="151"/>
      <x:c r="R289" s="148" t="str">
        <x:f>IF(OR(Q289="",'Setup &amp; Lists'!$B$8=""),"",Q289*'Setup &amp; Lists'!$B$8)</x:f>
      </x:c>
      <x:c r="S289" s="115"/>
      <x:c r="T289" s="117"/>
      <x:c r="U289" s="119"/>
    </x:row>
    <x:row r="290">
      <x:c r="A290" s="139"/>
      <x:c r="B290" s="117"/>
      <x:c r="C290" s="117"/>
      <x:c r="D290" s="117"/>
      <x:c r="E290" s="117"/>
      <x:c r="F290" s="117"/>
      <x:c r="G290" s="117"/>
      <x:c r="H290" s="117"/>
      <x:c r="I290" s="117"/>
      <x:c r="J290" s="118"/>
      <x:c r="K290" s="140"/>
      <x:c r="L290" s="137" t="str">
        <x:f>IF(OR(J290="",K290=""),"",(K290-J290)*1440)</x:f>
      </x:c>
      <x:c r="M290" s="149"/>
      <x:c r="N290" s="150"/>
      <x:c r="O290" s="150"/>
      <x:c r="P290" s="150"/>
      <x:c r="Q290" s="151"/>
      <x:c r="R290" s="148" t="str">
        <x:f>IF(OR(Q290="",'Setup &amp; Lists'!$B$8=""),"",Q290*'Setup &amp; Lists'!$B$8)</x:f>
      </x:c>
      <x:c r="S290" s="115"/>
      <x:c r="T290" s="117"/>
      <x:c r="U290" s="119"/>
    </x:row>
    <x:row r="291">
      <x:c r="A291" s="139"/>
      <x:c r="B291" s="117"/>
      <x:c r="C291" s="117"/>
      <x:c r="D291" s="117"/>
      <x:c r="E291" s="117"/>
      <x:c r="F291" s="117"/>
      <x:c r="G291" s="117"/>
      <x:c r="H291" s="117"/>
      <x:c r="I291" s="117"/>
      <x:c r="J291" s="118"/>
      <x:c r="K291" s="140"/>
      <x:c r="L291" s="137" t="str">
        <x:f>IF(OR(J291="",K291=""),"",(K291-J291)*1440)</x:f>
      </x:c>
      <x:c r="M291" s="149"/>
      <x:c r="N291" s="150"/>
      <x:c r="O291" s="150"/>
      <x:c r="P291" s="150"/>
      <x:c r="Q291" s="151"/>
      <x:c r="R291" s="148" t="str">
        <x:f>IF(OR(Q291="",'Setup &amp; Lists'!$B$8=""),"",Q291*'Setup &amp; Lists'!$B$8)</x:f>
      </x:c>
      <x:c r="S291" s="115"/>
      <x:c r="T291" s="117"/>
      <x:c r="U291" s="119"/>
    </x:row>
    <x:row r="292">
      <x:c r="A292" s="139"/>
      <x:c r="B292" s="117"/>
      <x:c r="C292" s="117"/>
      <x:c r="D292" s="117"/>
      <x:c r="E292" s="117"/>
      <x:c r="F292" s="117"/>
      <x:c r="G292" s="117"/>
      <x:c r="H292" s="117"/>
      <x:c r="I292" s="117"/>
      <x:c r="J292" s="118"/>
      <x:c r="K292" s="140"/>
      <x:c r="L292" s="137" t="str">
        <x:f>IF(OR(J292="",K292=""),"",(K292-J292)*1440)</x:f>
      </x:c>
      <x:c r="M292" s="149"/>
      <x:c r="N292" s="150"/>
      <x:c r="O292" s="150"/>
      <x:c r="P292" s="150"/>
      <x:c r="Q292" s="151"/>
      <x:c r="R292" s="148" t="str">
        <x:f>IF(OR(Q292="",'Setup &amp; Lists'!$B$8=""),"",Q292*'Setup &amp; Lists'!$B$8)</x:f>
      </x:c>
      <x:c r="S292" s="115"/>
      <x:c r="T292" s="117"/>
      <x:c r="U292" s="119"/>
    </x:row>
    <x:row r="293">
      <x:c r="A293" s="139"/>
      <x:c r="B293" s="117"/>
      <x:c r="C293" s="117"/>
      <x:c r="D293" s="117"/>
      <x:c r="E293" s="117"/>
      <x:c r="F293" s="117"/>
      <x:c r="G293" s="117"/>
      <x:c r="H293" s="117"/>
      <x:c r="I293" s="117"/>
      <x:c r="J293" s="118"/>
      <x:c r="K293" s="140"/>
      <x:c r="L293" s="137" t="str">
        <x:f>IF(OR(J293="",K293=""),"",(K293-J293)*1440)</x:f>
      </x:c>
      <x:c r="M293" s="149"/>
      <x:c r="N293" s="150"/>
      <x:c r="O293" s="150"/>
      <x:c r="P293" s="150"/>
      <x:c r="Q293" s="151"/>
      <x:c r="R293" s="148" t="str">
        <x:f>IF(OR(Q293="",'Setup &amp; Lists'!$B$8=""),"",Q293*'Setup &amp; Lists'!$B$8)</x:f>
      </x:c>
      <x:c r="S293" s="115"/>
      <x:c r="T293" s="117"/>
      <x:c r="U293" s="119"/>
    </x:row>
    <x:row r="294">
      <x:c r="A294" s="139"/>
      <x:c r="B294" s="117"/>
      <x:c r="C294" s="117"/>
      <x:c r="D294" s="117"/>
      <x:c r="E294" s="117"/>
      <x:c r="F294" s="117"/>
      <x:c r="G294" s="117"/>
      <x:c r="H294" s="117"/>
      <x:c r="I294" s="117"/>
      <x:c r="J294" s="118"/>
      <x:c r="K294" s="140"/>
      <x:c r="L294" s="137" t="str">
        <x:f>IF(OR(J294="",K294=""),"",(K294-J294)*1440)</x:f>
      </x:c>
      <x:c r="M294" s="149"/>
      <x:c r="N294" s="150"/>
      <x:c r="O294" s="150"/>
      <x:c r="P294" s="150"/>
      <x:c r="Q294" s="151"/>
      <x:c r="R294" s="148" t="str">
        <x:f>IF(OR(Q294="",'Setup &amp; Lists'!$B$8=""),"",Q294*'Setup &amp; Lists'!$B$8)</x:f>
      </x:c>
      <x:c r="S294" s="115"/>
      <x:c r="T294" s="117"/>
      <x:c r="U294" s="119"/>
    </x:row>
    <x:row r="295">
      <x:c r="A295" s="139"/>
      <x:c r="B295" s="117"/>
      <x:c r="C295" s="117"/>
      <x:c r="D295" s="117"/>
      <x:c r="E295" s="117"/>
      <x:c r="F295" s="117"/>
      <x:c r="G295" s="117"/>
      <x:c r="H295" s="117"/>
      <x:c r="I295" s="117"/>
      <x:c r="J295" s="118"/>
      <x:c r="K295" s="140"/>
      <x:c r="L295" s="137" t="str">
        <x:f>IF(OR(J295="",K295=""),"",(K295-J295)*1440)</x:f>
      </x:c>
      <x:c r="M295" s="149"/>
      <x:c r="N295" s="150"/>
      <x:c r="O295" s="150"/>
      <x:c r="P295" s="150"/>
      <x:c r="Q295" s="151"/>
      <x:c r="R295" s="148" t="str">
        <x:f>IF(OR(Q295="",'Setup &amp; Lists'!$B$8=""),"",Q295*'Setup &amp; Lists'!$B$8)</x:f>
      </x:c>
      <x:c r="S295" s="115"/>
      <x:c r="T295" s="117"/>
      <x:c r="U295" s="119"/>
    </x:row>
    <x:row r="296">
      <x:c r="A296" s="139"/>
      <x:c r="B296" s="117"/>
      <x:c r="C296" s="117"/>
      <x:c r="D296" s="117"/>
      <x:c r="E296" s="117"/>
      <x:c r="F296" s="117"/>
      <x:c r="G296" s="117"/>
      <x:c r="H296" s="117"/>
      <x:c r="I296" s="117"/>
      <x:c r="J296" s="118"/>
      <x:c r="K296" s="140"/>
      <x:c r="L296" s="137" t="str">
        <x:f>IF(OR(J296="",K296=""),"",(K296-J296)*1440)</x:f>
      </x:c>
      <x:c r="M296" s="149"/>
      <x:c r="N296" s="150"/>
      <x:c r="O296" s="150"/>
      <x:c r="P296" s="150"/>
      <x:c r="Q296" s="151"/>
      <x:c r="R296" s="148" t="str">
        <x:f>IF(OR(Q296="",'Setup &amp; Lists'!$B$8=""),"",Q296*'Setup &amp; Lists'!$B$8)</x:f>
      </x:c>
      <x:c r="S296" s="115"/>
      <x:c r="T296" s="117"/>
      <x:c r="U296" s="119"/>
    </x:row>
    <x:row r="297">
      <x:c r="A297" s="139"/>
      <x:c r="B297" s="117"/>
      <x:c r="C297" s="117"/>
      <x:c r="D297" s="117"/>
      <x:c r="E297" s="117"/>
      <x:c r="F297" s="117"/>
      <x:c r="G297" s="117"/>
      <x:c r="H297" s="117"/>
      <x:c r="I297" s="117"/>
      <x:c r="J297" s="118"/>
      <x:c r="K297" s="140"/>
      <x:c r="L297" s="137" t="str">
        <x:f>IF(OR(J297="",K297=""),"",(K297-J297)*1440)</x:f>
      </x:c>
      <x:c r="M297" s="149"/>
      <x:c r="N297" s="150"/>
      <x:c r="O297" s="150"/>
      <x:c r="P297" s="150"/>
      <x:c r="Q297" s="151"/>
      <x:c r="R297" s="148" t="str">
        <x:f>IF(OR(Q297="",'Setup &amp; Lists'!$B$8=""),"",Q297*'Setup &amp; Lists'!$B$8)</x:f>
      </x:c>
      <x:c r="S297" s="115"/>
      <x:c r="T297" s="117"/>
      <x:c r="U297" s="119"/>
    </x:row>
    <x:row r="298">
      <x:c r="A298" s="139"/>
      <x:c r="B298" s="117"/>
      <x:c r="C298" s="117"/>
      <x:c r="D298" s="117"/>
      <x:c r="E298" s="117"/>
      <x:c r="F298" s="117"/>
      <x:c r="G298" s="117"/>
      <x:c r="H298" s="117"/>
      <x:c r="I298" s="117"/>
      <x:c r="J298" s="118"/>
      <x:c r="K298" s="140"/>
      <x:c r="L298" s="137" t="str">
        <x:f>IF(OR(J298="",K298=""),"",(K298-J298)*1440)</x:f>
      </x:c>
      <x:c r="M298" s="149"/>
      <x:c r="N298" s="150"/>
      <x:c r="O298" s="150"/>
      <x:c r="P298" s="150"/>
      <x:c r="Q298" s="151"/>
      <x:c r="R298" s="148" t="str">
        <x:f>IF(OR(Q298="",'Setup &amp; Lists'!$B$8=""),"",Q298*'Setup &amp; Lists'!$B$8)</x:f>
      </x:c>
      <x:c r="S298" s="115"/>
      <x:c r="T298" s="117"/>
      <x:c r="U298" s="119"/>
    </x:row>
    <x:row r="299">
      <x:c r="A299" s="139"/>
      <x:c r="B299" s="117"/>
      <x:c r="C299" s="117"/>
      <x:c r="D299" s="117"/>
      <x:c r="E299" s="117"/>
      <x:c r="F299" s="117"/>
      <x:c r="G299" s="117"/>
      <x:c r="H299" s="117"/>
      <x:c r="I299" s="117"/>
      <x:c r="J299" s="118"/>
      <x:c r="K299" s="140"/>
      <x:c r="L299" s="137" t="str">
        <x:f>IF(OR(J299="",K299=""),"",(K299-J299)*1440)</x:f>
      </x:c>
      <x:c r="M299" s="149"/>
      <x:c r="N299" s="150"/>
      <x:c r="O299" s="150"/>
      <x:c r="P299" s="150"/>
      <x:c r="Q299" s="151"/>
      <x:c r="R299" s="148" t="str">
        <x:f>IF(OR(Q299="",'Setup &amp; Lists'!$B$8=""),"",Q299*'Setup &amp; Lists'!$B$8)</x:f>
      </x:c>
      <x:c r="S299" s="115"/>
      <x:c r="T299" s="117"/>
      <x:c r="U299" s="119"/>
    </x:row>
    <x:row r="300">
      <x:c r="A300" s="139"/>
      <x:c r="B300" s="117"/>
      <x:c r="C300" s="117"/>
      <x:c r="D300" s="117"/>
      <x:c r="E300" s="117"/>
      <x:c r="F300" s="117"/>
      <x:c r="G300" s="117"/>
      <x:c r="H300" s="117"/>
      <x:c r="I300" s="117"/>
      <x:c r="J300" s="118"/>
      <x:c r="K300" s="140"/>
      <x:c r="L300" s="137" t="str">
        <x:f>IF(OR(J300="",K300=""),"",(K300-J300)*1440)</x:f>
      </x:c>
      <x:c r="M300" s="149"/>
      <x:c r="N300" s="150"/>
      <x:c r="O300" s="150"/>
      <x:c r="P300" s="150"/>
      <x:c r="Q300" s="151"/>
      <x:c r="R300" s="148" t="str">
        <x:f>IF(OR(Q300="",'Setup &amp; Lists'!$B$8=""),"",Q300*'Setup &amp; Lists'!$B$8)</x:f>
      </x:c>
      <x:c r="S300" s="115"/>
      <x:c r="T300" s="117"/>
      <x:c r="U300" s="119"/>
    </x:row>
    <x:row r="301">
      <x:c r="A301" s="139"/>
      <x:c r="B301" s="117"/>
      <x:c r="C301" s="117"/>
      <x:c r="D301" s="117"/>
      <x:c r="E301" s="117"/>
      <x:c r="F301" s="117"/>
      <x:c r="G301" s="117"/>
      <x:c r="H301" s="117"/>
      <x:c r="I301" s="117"/>
      <x:c r="J301" s="118"/>
      <x:c r="K301" s="140"/>
      <x:c r="L301" s="137" t="str">
        <x:f>IF(OR(J301="",K301=""),"",(K301-J301)*1440)</x:f>
      </x:c>
      <x:c r="M301" s="149"/>
      <x:c r="N301" s="150"/>
      <x:c r="O301" s="150"/>
      <x:c r="P301" s="150"/>
      <x:c r="Q301" s="151"/>
      <x:c r="R301" s="148" t="str">
        <x:f>IF(OR(Q301="",'Setup &amp; Lists'!$B$8=""),"",Q301*'Setup &amp; Lists'!$B$8)</x:f>
      </x:c>
      <x:c r="S301" s="115"/>
      <x:c r="T301" s="117"/>
      <x:c r="U301" s="119"/>
    </x:row>
    <x:row r="302">
      <x:c r="A302" s="139"/>
      <x:c r="B302" s="117"/>
      <x:c r="C302" s="117"/>
      <x:c r="D302" s="117"/>
      <x:c r="E302" s="117"/>
      <x:c r="F302" s="117"/>
      <x:c r="G302" s="117"/>
      <x:c r="H302" s="117"/>
      <x:c r="I302" s="117"/>
      <x:c r="J302" s="118"/>
      <x:c r="K302" s="140"/>
      <x:c r="L302" s="137" t="str">
        <x:f>IF(OR(J302="",K302=""),"",(K302-J302)*1440)</x:f>
      </x:c>
      <x:c r="M302" s="149"/>
      <x:c r="N302" s="150"/>
      <x:c r="O302" s="150"/>
      <x:c r="P302" s="150"/>
      <x:c r="Q302" s="151"/>
      <x:c r="R302" s="148" t="str">
        <x:f>IF(OR(Q302="",'Setup &amp; Lists'!$B$8=""),"",Q302*'Setup &amp; Lists'!$B$8)</x:f>
      </x:c>
      <x:c r="S302" s="115"/>
      <x:c r="T302" s="117"/>
      <x:c r="U302" s="119"/>
    </x:row>
    <x:row r="303">
      <x:c r="A303" s="139"/>
      <x:c r="B303" s="117"/>
      <x:c r="C303" s="117"/>
      <x:c r="D303" s="117"/>
      <x:c r="E303" s="117"/>
      <x:c r="F303" s="117"/>
      <x:c r="G303" s="117"/>
      <x:c r="H303" s="117"/>
      <x:c r="I303" s="117"/>
      <x:c r="J303" s="118"/>
      <x:c r="K303" s="140"/>
      <x:c r="L303" s="137" t="str">
        <x:f>IF(OR(J303="",K303=""),"",(K303-J303)*1440)</x:f>
      </x:c>
      <x:c r="M303" s="149"/>
      <x:c r="N303" s="150"/>
      <x:c r="O303" s="150"/>
      <x:c r="P303" s="150"/>
      <x:c r="Q303" s="151"/>
      <x:c r="R303" s="148" t="str">
        <x:f>IF(OR(Q303="",'Setup &amp; Lists'!$B$8=""),"",Q303*'Setup &amp; Lists'!$B$8)</x:f>
      </x:c>
      <x:c r="S303" s="115"/>
      <x:c r="T303" s="117"/>
      <x:c r="U303" s="119"/>
    </x:row>
    <x:row r="304">
      <x:c r="A304" s="139"/>
      <x:c r="B304" s="117"/>
      <x:c r="C304" s="117"/>
      <x:c r="D304" s="117"/>
      <x:c r="E304" s="117"/>
      <x:c r="F304" s="117"/>
      <x:c r="G304" s="117"/>
      <x:c r="H304" s="117"/>
      <x:c r="I304" s="117"/>
      <x:c r="J304" s="118"/>
      <x:c r="K304" s="140"/>
      <x:c r="L304" s="137" t="str">
        <x:f>IF(OR(J304="",K304=""),"",(K304-J304)*1440)</x:f>
      </x:c>
      <x:c r="M304" s="149"/>
      <x:c r="N304" s="150"/>
      <x:c r="O304" s="150"/>
      <x:c r="P304" s="150"/>
      <x:c r="Q304" s="151"/>
      <x:c r="R304" s="148" t="str">
        <x:f>IF(OR(Q304="",'Setup &amp; Lists'!$B$8=""),"",Q304*'Setup &amp; Lists'!$B$8)</x:f>
      </x:c>
      <x:c r="S304" s="115"/>
      <x:c r="T304" s="117"/>
      <x:c r="U304" s="119"/>
    </x:row>
    <x:row r="305">
      <x:c r="A305" s="139"/>
      <x:c r="B305" s="117"/>
      <x:c r="C305" s="117"/>
      <x:c r="D305" s="117"/>
      <x:c r="E305" s="117"/>
      <x:c r="F305" s="117"/>
      <x:c r="G305" s="117"/>
      <x:c r="H305" s="117"/>
      <x:c r="I305" s="117"/>
      <x:c r="J305" s="118"/>
      <x:c r="K305" s="140"/>
      <x:c r="L305" s="137" t="str">
        <x:f>IF(OR(J305="",K305=""),"",(K305-J305)*1440)</x:f>
      </x:c>
      <x:c r="M305" s="149"/>
      <x:c r="N305" s="150"/>
      <x:c r="O305" s="150"/>
      <x:c r="P305" s="150"/>
      <x:c r="Q305" s="151"/>
      <x:c r="R305" s="148" t="str">
        <x:f>IF(OR(Q305="",'Setup &amp; Lists'!$B$8=""),"",Q305*'Setup &amp; Lists'!$B$8)</x:f>
      </x:c>
      <x:c r="S305" s="115"/>
      <x:c r="T305" s="117"/>
      <x:c r="U305" s="119"/>
    </x:row>
    <x:row r="306">
      <x:c r="A306" s="139"/>
      <x:c r="B306" s="117"/>
      <x:c r="C306" s="117"/>
      <x:c r="D306" s="117"/>
      <x:c r="E306" s="117"/>
      <x:c r="F306" s="117"/>
      <x:c r="G306" s="117"/>
      <x:c r="H306" s="117"/>
      <x:c r="I306" s="117"/>
      <x:c r="J306" s="118"/>
      <x:c r="K306" s="140"/>
      <x:c r="L306" s="137" t="str">
        <x:f>IF(OR(J306="",K306=""),"",(K306-J306)*1440)</x:f>
      </x:c>
      <x:c r="M306" s="149"/>
      <x:c r="N306" s="150"/>
      <x:c r="O306" s="150"/>
      <x:c r="P306" s="150"/>
      <x:c r="Q306" s="151"/>
      <x:c r="R306" s="148" t="str">
        <x:f>IF(OR(Q306="",'Setup &amp; Lists'!$B$8=""),"",Q306*'Setup &amp; Lists'!$B$8)</x:f>
      </x:c>
      <x:c r="S306" s="115"/>
      <x:c r="T306" s="117"/>
      <x:c r="U306" s="119"/>
    </x:row>
    <x:row r="307">
      <x:c r="A307" s="139"/>
      <x:c r="B307" s="117"/>
      <x:c r="C307" s="117"/>
      <x:c r="D307" s="117"/>
      <x:c r="E307" s="117"/>
      <x:c r="F307" s="117"/>
      <x:c r="G307" s="117"/>
      <x:c r="H307" s="117"/>
      <x:c r="I307" s="117"/>
      <x:c r="J307" s="118"/>
      <x:c r="K307" s="140"/>
      <x:c r="L307" s="137" t="str">
        <x:f>IF(OR(J307="",K307=""),"",(K307-J307)*1440)</x:f>
      </x:c>
      <x:c r="M307" s="149"/>
      <x:c r="N307" s="150"/>
      <x:c r="O307" s="150"/>
      <x:c r="P307" s="150"/>
      <x:c r="Q307" s="151"/>
      <x:c r="R307" s="148" t="str">
        <x:f>IF(OR(Q307="",'Setup &amp; Lists'!$B$8=""),"",Q307*'Setup &amp; Lists'!$B$8)</x:f>
      </x:c>
      <x:c r="S307" s="115"/>
      <x:c r="T307" s="117"/>
      <x:c r="U307" s="119"/>
    </x:row>
    <x:row r="308">
      <x:c r="A308" s="139"/>
      <x:c r="B308" s="117"/>
      <x:c r="C308" s="117"/>
      <x:c r="D308" s="117"/>
      <x:c r="E308" s="117"/>
      <x:c r="F308" s="117"/>
      <x:c r="G308" s="117"/>
      <x:c r="H308" s="117"/>
      <x:c r="I308" s="117"/>
      <x:c r="J308" s="118"/>
      <x:c r="K308" s="140"/>
      <x:c r="L308" s="137" t="str">
        <x:f>IF(OR(J308="",K308=""),"",(K308-J308)*1440)</x:f>
      </x:c>
      <x:c r="M308" s="149"/>
      <x:c r="N308" s="150"/>
      <x:c r="O308" s="150"/>
      <x:c r="P308" s="150"/>
      <x:c r="Q308" s="151"/>
      <x:c r="R308" s="148" t="str">
        <x:f>IF(OR(Q308="",'Setup &amp; Lists'!$B$8=""),"",Q308*'Setup &amp; Lists'!$B$8)</x:f>
      </x:c>
      <x:c r="S308" s="115"/>
      <x:c r="T308" s="117"/>
      <x:c r="U308" s="119"/>
    </x:row>
    <x:row r="309">
      <x:c r="A309" s="139"/>
      <x:c r="B309" s="117"/>
      <x:c r="C309" s="117"/>
      <x:c r="D309" s="117"/>
      <x:c r="E309" s="117"/>
      <x:c r="F309" s="117"/>
      <x:c r="G309" s="117"/>
      <x:c r="H309" s="117"/>
      <x:c r="I309" s="117"/>
      <x:c r="J309" s="118"/>
      <x:c r="K309" s="140"/>
      <x:c r="L309" s="137" t="str">
        <x:f>IF(OR(J309="",K309=""),"",(K309-J309)*1440)</x:f>
      </x:c>
      <x:c r="M309" s="149"/>
      <x:c r="N309" s="150"/>
      <x:c r="O309" s="150"/>
      <x:c r="P309" s="150"/>
      <x:c r="Q309" s="151"/>
      <x:c r="R309" s="148" t="str">
        <x:f>IF(OR(Q309="",'Setup &amp; Lists'!$B$8=""),"",Q309*'Setup &amp; Lists'!$B$8)</x:f>
      </x:c>
      <x:c r="S309" s="115"/>
      <x:c r="T309" s="117"/>
      <x:c r="U309" s="119"/>
    </x:row>
    <x:row r="310">
      <x:c r="A310" s="139"/>
      <x:c r="B310" s="117"/>
      <x:c r="C310" s="117"/>
      <x:c r="D310" s="117"/>
      <x:c r="E310" s="117"/>
      <x:c r="F310" s="117"/>
      <x:c r="G310" s="117"/>
      <x:c r="H310" s="117"/>
      <x:c r="I310" s="117"/>
      <x:c r="J310" s="118"/>
      <x:c r="K310" s="140"/>
      <x:c r="L310" s="137" t="str">
        <x:f>IF(OR(J310="",K310=""),"",(K310-J310)*1440)</x:f>
      </x:c>
      <x:c r="M310" s="149"/>
      <x:c r="N310" s="150"/>
      <x:c r="O310" s="150"/>
      <x:c r="P310" s="150"/>
      <x:c r="Q310" s="151"/>
      <x:c r="R310" s="148" t="str">
        <x:f>IF(OR(Q310="",'Setup &amp; Lists'!$B$8=""),"",Q310*'Setup &amp; Lists'!$B$8)</x:f>
      </x:c>
      <x:c r="S310" s="115"/>
      <x:c r="T310" s="117"/>
      <x:c r="U310" s="119"/>
    </x:row>
    <x:row r="311">
      <x:c r="A311" s="139"/>
      <x:c r="B311" s="117"/>
      <x:c r="C311" s="117"/>
      <x:c r="D311" s="117"/>
      <x:c r="E311" s="117"/>
      <x:c r="F311" s="117"/>
      <x:c r="G311" s="117"/>
      <x:c r="H311" s="117"/>
      <x:c r="I311" s="117"/>
      <x:c r="J311" s="118"/>
      <x:c r="K311" s="140"/>
      <x:c r="L311" s="137" t="str">
        <x:f>IF(OR(J311="",K311=""),"",(K311-J311)*1440)</x:f>
      </x:c>
      <x:c r="M311" s="149"/>
      <x:c r="N311" s="150"/>
      <x:c r="O311" s="150"/>
      <x:c r="P311" s="150"/>
      <x:c r="Q311" s="151"/>
      <x:c r="R311" s="148" t="str">
        <x:f>IF(OR(Q311="",'Setup &amp; Lists'!$B$8=""),"",Q311*'Setup &amp; Lists'!$B$8)</x:f>
      </x:c>
      <x:c r="S311" s="115"/>
      <x:c r="T311" s="117"/>
      <x:c r="U311" s="119"/>
    </x:row>
    <x:row r="312">
      <x:c r="A312" s="139"/>
      <x:c r="B312" s="117"/>
      <x:c r="C312" s="117"/>
      <x:c r="D312" s="117"/>
      <x:c r="E312" s="117"/>
      <x:c r="F312" s="117"/>
      <x:c r="G312" s="117"/>
      <x:c r="H312" s="117"/>
      <x:c r="I312" s="117"/>
      <x:c r="J312" s="118"/>
      <x:c r="K312" s="140"/>
      <x:c r="L312" s="137" t="str">
        <x:f>IF(OR(J312="",K312=""),"",(K312-J312)*1440)</x:f>
      </x:c>
      <x:c r="M312" s="149"/>
      <x:c r="N312" s="150"/>
      <x:c r="O312" s="150"/>
      <x:c r="P312" s="150"/>
      <x:c r="Q312" s="151"/>
      <x:c r="R312" s="148" t="str">
        <x:f>IF(OR(Q312="",'Setup &amp; Lists'!$B$8=""),"",Q312*'Setup &amp; Lists'!$B$8)</x:f>
      </x:c>
      <x:c r="S312" s="115"/>
      <x:c r="T312" s="117"/>
      <x:c r="U312" s="119"/>
    </x:row>
    <x:row r="313">
      <x:c r="A313" s="139"/>
      <x:c r="B313" s="117"/>
      <x:c r="C313" s="117"/>
      <x:c r="D313" s="117"/>
      <x:c r="E313" s="117"/>
      <x:c r="F313" s="117"/>
      <x:c r="G313" s="117"/>
      <x:c r="H313" s="117"/>
      <x:c r="I313" s="117"/>
      <x:c r="J313" s="118"/>
      <x:c r="K313" s="140"/>
      <x:c r="L313" s="137" t="str">
        <x:f>IF(OR(J313="",K313=""),"",(K313-J313)*1440)</x:f>
      </x:c>
      <x:c r="M313" s="149"/>
      <x:c r="N313" s="150"/>
      <x:c r="O313" s="150"/>
      <x:c r="P313" s="150"/>
      <x:c r="Q313" s="151"/>
      <x:c r="R313" s="148" t="str">
        <x:f>IF(OR(Q313="",'Setup &amp; Lists'!$B$8=""),"",Q313*'Setup &amp; Lists'!$B$8)</x:f>
      </x:c>
      <x:c r="S313" s="115"/>
      <x:c r="T313" s="117"/>
      <x:c r="U313" s="119"/>
    </x:row>
    <x:row r="314">
      <x:c r="A314" s="139"/>
      <x:c r="B314" s="117"/>
      <x:c r="C314" s="117"/>
      <x:c r="D314" s="117"/>
      <x:c r="E314" s="117"/>
      <x:c r="F314" s="117"/>
      <x:c r="G314" s="117"/>
      <x:c r="H314" s="117"/>
      <x:c r="I314" s="117"/>
      <x:c r="J314" s="118"/>
      <x:c r="K314" s="140"/>
      <x:c r="L314" s="137" t="str">
        <x:f>IF(OR(J314="",K314=""),"",(K314-J314)*1440)</x:f>
      </x:c>
      <x:c r="M314" s="149"/>
      <x:c r="N314" s="150"/>
      <x:c r="O314" s="150"/>
      <x:c r="P314" s="150"/>
      <x:c r="Q314" s="151"/>
      <x:c r="R314" s="148" t="str">
        <x:f>IF(OR(Q314="",'Setup &amp; Lists'!$B$8=""),"",Q314*'Setup &amp; Lists'!$B$8)</x:f>
      </x:c>
      <x:c r="S314" s="115"/>
      <x:c r="T314" s="117"/>
      <x:c r="U314" s="119"/>
    </x:row>
    <x:row r="315">
      <x:c r="A315" s="139"/>
      <x:c r="B315" s="117"/>
      <x:c r="C315" s="117"/>
      <x:c r="D315" s="117"/>
      <x:c r="E315" s="117"/>
      <x:c r="F315" s="117"/>
      <x:c r="G315" s="117"/>
      <x:c r="H315" s="117"/>
      <x:c r="I315" s="117"/>
      <x:c r="J315" s="118"/>
      <x:c r="K315" s="140"/>
      <x:c r="L315" s="137" t="str">
        <x:f>IF(OR(J315="",K315=""),"",(K315-J315)*1440)</x:f>
      </x:c>
      <x:c r="M315" s="149"/>
      <x:c r="N315" s="150"/>
      <x:c r="O315" s="150"/>
      <x:c r="P315" s="150"/>
      <x:c r="Q315" s="151"/>
      <x:c r="R315" s="148" t="str">
        <x:f>IF(OR(Q315="",'Setup &amp; Lists'!$B$8=""),"",Q315*'Setup &amp; Lists'!$B$8)</x:f>
      </x:c>
      <x:c r="S315" s="115"/>
      <x:c r="T315" s="117"/>
      <x:c r="U315" s="119"/>
    </x:row>
    <x:row r="316">
      <x:c r="A316" s="139"/>
      <x:c r="B316" s="117"/>
      <x:c r="C316" s="117"/>
      <x:c r="D316" s="117"/>
      <x:c r="E316" s="117"/>
      <x:c r="F316" s="117"/>
      <x:c r="G316" s="117"/>
      <x:c r="H316" s="117"/>
      <x:c r="I316" s="117"/>
      <x:c r="J316" s="118"/>
      <x:c r="K316" s="140"/>
      <x:c r="L316" s="137" t="str">
        <x:f>IF(OR(J316="",K316=""),"",(K316-J316)*1440)</x:f>
      </x:c>
      <x:c r="M316" s="149"/>
      <x:c r="N316" s="150"/>
      <x:c r="O316" s="150"/>
      <x:c r="P316" s="150"/>
      <x:c r="Q316" s="151"/>
      <x:c r="R316" s="148" t="str">
        <x:f>IF(OR(Q316="",'Setup &amp; Lists'!$B$8=""),"",Q316*'Setup &amp; Lists'!$B$8)</x:f>
      </x:c>
      <x:c r="S316" s="115"/>
      <x:c r="T316" s="117"/>
      <x:c r="U316" s="119"/>
    </x:row>
    <x:row r="317">
      <x:c r="A317" s="139"/>
      <x:c r="B317" s="117"/>
      <x:c r="C317" s="117"/>
      <x:c r="D317" s="117"/>
      <x:c r="E317" s="117"/>
      <x:c r="F317" s="117"/>
      <x:c r="G317" s="117"/>
      <x:c r="H317" s="117"/>
      <x:c r="I317" s="117"/>
      <x:c r="J317" s="118"/>
      <x:c r="K317" s="140"/>
      <x:c r="L317" s="137" t="str">
        <x:f>IF(OR(J317="",K317=""),"",(K317-J317)*1440)</x:f>
      </x:c>
      <x:c r="M317" s="149"/>
      <x:c r="N317" s="150"/>
      <x:c r="O317" s="150"/>
      <x:c r="P317" s="150"/>
      <x:c r="Q317" s="151"/>
      <x:c r="R317" s="148" t="str">
        <x:f>IF(OR(Q317="",'Setup &amp; Lists'!$B$8=""),"",Q317*'Setup &amp; Lists'!$B$8)</x:f>
      </x:c>
      <x:c r="S317" s="115"/>
      <x:c r="T317" s="117"/>
      <x:c r="U317" s="119"/>
    </x:row>
    <x:row r="318">
      <x:c r="A318" s="139"/>
      <x:c r="B318" s="117"/>
      <x:c r="C318" s="117"/>
      <x:c r="D318" s="117"/>
      <x:c r="E318" s="117"/>
      <x:c r="F318" s="117"/>
      <x:c r="G318" s="117"/>
      <x:c r="H318" s="117"/>
      <x:c r="I318" s="117"/>
      <x:c r="J318" s="118"/>
      <x:c r="K318" s="140"/>
      <x:c r="L318" s="137" t="str">
        <x:f>IF(OR(J318="",K318=""),"",(K318-J318)*1440)</x:f>
      </x:c>
      <x:c r="M318" s="149"/>
      <x:c r="N318" s="150"/>
      <x:c r="O318" s="150"/>
      <x:c r="P318" s="150"/>
      <x:c r="Q318" s="151"/>
      <x:c r="R318" s="148" t="str">
        <x:f>IF(OR(Q318="",'Setup &amp; Lists'!$B$8=""),"",Q318*'Setup &amp; Lists'!$B$8)</x:f>
      </x:c>
      <x:c r="S318" s="115"/>
      <x:c r="T318" s="117"/>
      <x:c r="U318" s="119"/>
    </x:row>
    <x:row r="319">
      <x:c r="A319" s="139"/>
      <x:c r="B319" s="117"/>
      <x:c r="C319" s="117"/>
      <x:c r="D319" s="117"/>
      <x:c r="E319" s="117"/>
      <x:c r="F319" s="117"/>
      <x:c r="G319" s="117"/>
      <x:c r="H319" s="117"/>
      <x:c r="I319" s="117"/>
      <x:c r="J319" s="118"/>
      <x:c r="K319" s="140"/>
      <x:c r="L319" s="137" t="str">
        <x:f>IF(OR(J319="",K319=""),"",(K319-J319)*1440)</x:f>
      </x:c>
      <x:c r="M319" s="149"/>
      <x:c r="N319" s="150"/>
      <x:c r="O319" s="150"/>
      <x:c r="P319" s="150"/>
      <x:c r="Q319" s="151"/>
      <x:c r="R319" s="148" t="str">
        <x:f>IF(OR(Q319="",'Setup &amp; Lists'!$B$8=""),"",Q319*'Setup &amp; Lists'!$B$8)</x:f>
      </x:c>
      <x:c r="S319" s="115"/>
      <x:c r="T319" s="117"/>
      <x:c r="U319" s="119"/>
    </x:row>
    <x:row r="320">
      <x:c r="A320" s="139"/>
      <x:c r="B320" s="117"/>
      <x:c r="C320" s="117"/>
      <x:c r="D320" s="117"/>
      <x:c r="E320" s="117"/>
      <x:c r="F320" s="117"/>
      <x:c r="G320" s="117"/>
      <x:c r="H320" s="117"/>
      <x:c r="I320" s="117"/>
      <x:c r="J320" s="118"/>
      <x:c r="K320" s="140"/>
      <x:c r="L320" s="137" t="str">
        <x:f>IF(OR(J320="",K320=""),"",(K320-J320)*1440)</x:f>
      </x:c>
      <x:c r="M320" s="149"/>
      <x:c r="N320" s="150"/>
      <x:c r="O320" s="150"/>
      <x:c r="P320" s="150"/>
      <x:c r="Q320" s="151"/>
      <x:c r="R320" s="148" t="str">
        <x:f>IF(OR(Q320="",'Setup &amp; Lists'!$B$8=""),"",Q320*'Setup &amp; Lists'!$B$8)</x:f>
      </x:c>
      <x:c r="S320" s="115"/>
      <x:c r="T320" s="117"/>
      <x:c r="U320" s="119"/>
    </x:row>
    <x:row r="321">
      <x:c r="A321" s="139"/>
      <x:c r="B321" s="117"/>
      <x:c r="C321" s="117"/>
      <x:c r="D321" s="117"/>
      <x:c r="E321" s="117"/>
      <x:c r="F321" s="117"/>
      <x:c r="G321" s="117"/>
      <x:c r="H321" s="117"/>
      <x:c r="I321" s="117"/>
      <x:c r="J321" s="118"/>
      <x:c r="K321" s="140"/>
      <x:c r="L321" s="137" t="str">
        <x:f>IF(OR(J321="",K321=""),"",(K321-J321)*1440)</x:f>
      </x:c>
      <x:c r="M321" s="149"/>
      <x:c r="N321" s="150"/>
      <x:c r="O321" s="150"/>
      <x:c r="P321" s="150"/>
      <x:c r="Q321" s="151"/>
      <x:c r="R321" s="148" t="str">
        <x:f>IF(OR(Q321="",'Setup &amp; Lists'!$B$8=""),"",Q321*'Setup &amp; Lists'!$B$8)</x:f>
      </x:c>
      <x:c r="S321" s="115"/>
      <x:c r="T321" s="117"/>
      <x:c r="U321" s="119"/>
    </x:row>
    <x:row r="322">
      <x:c r="A322" s="139"/>
      <x:c r="B322" s="117"/>
      <x:c r="C322" s="117"/>
      <x:c r="D322" s="117"/>
      <x:c r="E322" s="117"/>
      <x:c r="F322" s="117"/>
      <x:c r="G322" s="117"/>
      <x:c r="H322" s="117"/>
      <x:c r="I322" s="117"/>
      <x:c r="J322" s="118"/>
      <x:c r="K322" s="140"/>
      <x:c r="L322" s="137" t="str">
        <x:f>IF(OR(J322="",K322=""),"",(K322-J322)*1440)</x:f>
      </x:c>
      <x:c r="M322" s="149"/>
      <x:c r="N322" s="150"/>
      <x:c r="O322" s="150"/>
      <x:c r="P322" s="150"/>
      <x:c r="Q322" s="151"/>
      <x:c r="R322" s="148" t="str">
        <x:f>IF(OR(Q322="",'Setup &amp; Lists'!$B$8=""),"",Q322*'Setup &amp; Lists'!$B$8)</x:f>
      </x:c>
      <x:c r="S322" s="115"/>
      <x:c r="T322" s="117"/>
      <x:c r="U322" s="119"/>
    </x:row>
    <x:row r="323">
      <x:c r="A323" s="139"/>
      <x:c r="B323" s="117"/>
      <x:c r="C323" s="117"/>
      <x:c r="D323" s="117"/>
      <x:c r="E323" s="117"/>
      <x:c r="F323" s="117"/>
      <x:c r="G323" s="117"/>
      <x:c r="H323" s="117"/>
      <x:c r="I323" s="117"/>
      <x:c r="J323" s="118"/>
      <x:c r="K323" s="140"/>
      <x:c r="L323" s="137" t="str">
        <x:f>IF(OR(J323="",K323=""),"",(K323-J323)*1440)</x:f>
      </x:c>
      <x:c r="M323" s="149"/>
      <x:c r="N323" s="150"/>
      <x:c r="O323" s="150"/>
      <x:c r="P323" s="150"/>
      <x:c r="Q323" s="151"/>
      <x:c r="R323" s="148" t="str">
        <x:f>IF(OR(Q323="",'Setup &amp; Lists'!$B$8=""),"",Q323*'Setup &amp; Lists'!$B$8)</x:f>
      </x:c>
      <x:c r="S323" s="115"/>
      <x:c r="T323" s="117"/>
      <x:c r="U323" s="119"/>
    </x:row>
    <x:row r="324">
      <x:c r="A324" s="139"/>
      <x:c r="B324" s="117"/>
      <x:c r="C324" s="117"/>
      <x:c r="D324" s="117"/>
      <x:c r="E324" s="117"/>
      <x:c r="F324" s="117"/>
      <x:c r="G324" s="117"/>
      <x:c r="H324" s="117"/>
      <x:c r="I324" s="117"/>
      <x:c r="J324" s="118"/>
      <x:c r="K324" s="140"/>
      <x:c r="L324" s="137" t="str">
        <x:f>IF(OR(J324="",K324=""),"",(K324-J324)*1440)</x:f>
      </x:c>
      <x:c r="M324" s="149"/>
      <x:c r="N324" s="150"/>
      <x:c r="O324" s="150"/>
      <x:c r="P324" s="150"/>
      <x:c r="Q324" s="151"/>
      <x:c r="R324" s="148" t="str">
        <x:f>IF(OR(Q324="",'Setup &amp; Lists'!$B$8=""),"",Q324*'Setup &amp; Lists'!$B$8)</x:f>
      </x:c>
      <x:c r="S324" s="115"/>
      <x:c r="T324" s="117"/>
      <x:c r="U324" s="119"/>
    </x:row>
    <x:row r="325">
      <x:c r="A325" s="139"/>
      <x:c r="B325" s="117"/>
      <x:c r="C325" s="117"/>
      <x:c r="D325" s="117"/>
      <x:c r="E325" s="117"/>
      <x:c r="F325" s="117"/>
      <x:c r="G325" s="117"/>
      <x:c r="H325" s="117"/>
      <x:c r="I325" s="117"/>
      <x:c r="J325" s="118"/>
      <x:c r="K325" s="140"/>
      <x:c r="L325" s="137" t="str">
        <x:f>IF(OR(J325="",K325=""),"",(K325-J325)*1440)</x:f>
      </x:c>
      <x:c r="M325" s="149"/>
      <x:c r="N325" s="150"/>
      <x:c r="O325" s="150"/>
      <x:c r="P325" s="150"/>
      <x:c r="Q325" s="151"/>
      <x:c r="R325" s="148" t="str">
        <x:f>IF(OR(Q325="",'Setup &amp; Lists'!$B$8=""),"",Q325*'Setup &amp; Lists'!$B$8)</x:f>
      </x:c>
      <x:c r="S325" s="115"/>
      <x:c r="T325" s="117"/>
      <x:c r="U325" s="119"/>
    </x:row>
    <x:row r="326">
      <x:c r="A326" s="139"/>
      <x:c r="B326" s="117"/>
      <x:c r="C326" s="117"/>
      <x:c r="D326" s="117"/>
      <x:c r="E326" s="117"/>
      <x:c r="F326" s="117"/>
      <x:c r="G326" s="117"/>
      <x:c r="H326" s="117"/>
      <x:c r="I326" s="117"/>
      <x:c r="J326" s="118"/>
      <x:c r="K326" s="140"/>
      <x:c r="L326" s="137" t="str">
        <x:f>IF(OR(J326="",K326=""),"",(K326-J326)*1440)</x:f>
      </x:c>
      <x:c r="M326" s="149"/>
      <x:c r="N326" s="150"/>
      <x:c r="O326" s="150"/>
      <x:c r="P326" s="150"/>
      <x:c r="Q326" s="151"/>
      <x:c r="R326" s="148" t="str">
        <x:f>IF(OR(Q326="",'Setup &amp; Lists'!$B$8=""),"",Q326*'Setup &amp; Lists'!$B$8)</x:f>
      </x:c>
      <x:c r="S326" s="115"/>
      <x:c r="T326" s="117"/>
      <x:c r="U326" s="119"/>
    </x:row>
    <x:row r="327">
      <x:c r="A327" s="139"/>
      <x:c r="B327" s="117"/>
      <x:c r="C327" s="117"/>
      <x:c r="D327" s="117"/>
      <x:c r="E327" s="117"/>
      <x:c r="F327" s="117"/>
      <x:c r="G327" s="117"/>
      <x:c r="H327" s="117"/>
      <x:c r="I327" s="117"/>
      <x:c r="J327" s="118"/>
      <x:c r="K327" s="140"/>
      <x:c r="L327" s="137" t="str">
        <x:f>IF(OR(J327="",K327=""),"",(K327-J327)*1440)</x:f>
      </x:c>
      <x:c r="M327" s="149"/>
      <x:c r="N327" s="150"/>
      <x:c r="O327" s="150"/>
      <x:c r="P327" s="150"/>
      <x:c r="Q327" s="151"/>
      <x:c r="R327" s="148" t="str">
        <x:f>IF(OR(Q327="",'Setup &amp; Lists'!$B$8=""),"",Q327*'Setup &amp; Lists'!$B$8)</x:f>
      </x:c>
      <x:c r="S327" s="115"/>
      <x:c r="T327" s="117"/>
      <x:c r="U327" s="119"/>
    </x:row>
    <x:row r="328">
      <x:c r="A328" s="139"/>
      <x:c r="B328" s="117"/>
      <x:c r="C328" s="117"/>
      <x:c r="D328" s="117"/>
      <x:c r="E328" s="117"/>
      <x:c r="F328" s="117"/>
      <x:c r="G328" s="117"/>
      <x:c r="H328" s="117"/>
      <x:c r="I328" s="117"/>
      <x:c r="J328" s="118"/>
      <x:c r="K328" s="140"/>
      <x:c r="L328" s="137" t="str">
        <x:f>IF(OR(J328="",K328=""),"",(K328-J328)*1440)</x:f>
      </x:c>
      <x:c r="M328" s="149"/>
      <x:c r="N328" s="150"/>
      <x:c r="O328" s="150"/>
      <x:c r="P328" s="150"/>
      <x:c r="Q328" s="151"/>
      <x:c r="R328" s="148" t="str">
        <x:f>IF(OR(Q328="",'Setup &amp; Lists'!$B$8=""),"",Q328*'Setup &amp; Lists'!$B$8)</x:f>
      </x:c>
      <x:c r="S328" s="115"/>
      <x:c r="T328" s="117"/>
      <x:c r="U328" s="119"/>
    </x:row>
    <x:row r="329">
      <x:c r="A329" s="139"/>
      <x:c r="B329" s="117"/>
      <x:c r="C329" s="117"/>
      <x:c r="D329" s="117"/>
      <x:c r="E329" s="117"/>
      <x:c r="F329" s="117"/>
      <x:c r="G329" s="117"/>
      <x:c r="H329" s="117"/>
      <x:c r="I329" s="117"/>
      <x:c r="J329" s="118"/>
      <x:c r="K329" s="140"/>
      <x:c r="L329" s="137" t="str">
        <x:f>IF(OR(J329="",K329=""),"",(K329-J329)*1440)</x:f>
      </x:c>
      <x:c r="M329" s="149"/>
      <x:c r="N329" s="150"/>
      <x:c r="O329" s="150"/>
      <x:c r="P329" s="150"/>
      <x:c r="Q329" s="151"/>
      <x:c r="R329" s="148" t="str">
        <x:f>IF(OR(Q329="",'Setup &amp; Lists'!$B$8=""),"",Q329*'Setup &amp; Lists'!$B$8)</x:f>
      </x:c>
      <x:c r="S329" s="115"/>
      <x:c r="T329" s="117"/>
      <x:c r="U329" s="119"/>
    </x:row>
    <x:row r="330">
      <x:c r="A330" s="139"/>
      <x:c r="B330" s="117"/>
      <x:c r="C330" s="117"/>
      <x:c r="D330" s="117"/>
      <x:c r="E330" s="117"/>
      <x:c r="F330" s="117"/>
      <x:c r="G330" s="117"/>
      <x:c r="H330" s="117"/>
      <x:c r="I330" s="117"/>
      <x:c r="J330" s="118"/>
      <x:c r="K330" s="140"/>
      <x:c r="L330" s="137" t="str">
        <x:f>IF(OR(J330="",K330=""),"",(K330-J330)*1440)</x:f>
      </x:c>
      <x:c r="M330" s="149"/>
      <x:c r="N330" s="150"/>
      <x:c r="O330" s="150"/>
      <x:c r="P330" s="150"/>
      <x:c r="Q330" s="151"/>
      <x:c r="R330" s="148" t="str">
        <x:f>IF(OR(Q330="",'Setup &amp; Lists'!$B$8=""),"",Q330*'Setup &amp; Lists'!$B$8)</x:f>
      </x:c>
      <x:c r="S330" s="115"/>
      <x:c r="T330" s="117"/>
      <x:c r="U330" s="119"/>
    </x:row>
    <x:row r="331">
      <x:c r="A331" s="139"/>
      <x:c r="B331" s="117"/>
      <x:c r="C331" s="117"/>
      <x:c r="D331" s="117"/>
      <x:c r="E331" s="117"/>
      <x:c r="F331" s="117"/>
      <x:c r="G331" s="117"/>
      <x:c r="H331" s="117"/>
      <x:c r="I331" s="117"/>
      <x:c r="J331" s="118"/>
      <x:c r="K331" s="140"/>
      <x:c r="L331" s="137" t="str">
        <x:f>IF(OR(J331="",K331=""),"",(K331-J331)*1440)</x:f>
      </x:c>
      <x:c r="M331" s="149"/>
      <x:c r="N331" s="150"/>
      <x:c r="O331" s="150"/>
      <x:c r="P331" s="150"/>
      <x:c r="Q331" s="151"/>
      <x:c r="R331" s="148" t="str">
        <x:f>IF(OR(Q331="",'Setup &amp; Lists'!$B$8=""),"",Q331*'Setup &amp; Lists'!$B$8)</x:f>
      </x:c>
      <x:c r="S331" s="115"/>
      <x:c r="T331" s="117"/>
      <x:c r="U331" s="119"/>
    </x:row>
    <x:row r="332">
      <x:c r="A332" s="139"/>
      <x:c r="B332" s="117"/>
      <x:c r="C332" s="117"/>
      <x:c r="D332" s="117"/>
      <x:c r="E332" s="117"/>
      <x:c r="F332" s="117"/>
      <x:c r="G332" s="117"/>
      <x:c r="H332" s="117"/>
      <x:c r="I332" s="117"/>
      <x:c r="J332" s="118"/>
      <x:c r="K332" s="140"/>
      <x:c r="L332" s="137" t="str">
        <x:f>IF(OR(J332="",K332=""),"",(K332-J332)*1440)</x:f>
      </x:c>
      <x:c r="M332" s="149"/>
      <x:c r="N332" s="150"/>
      <x:c r="O332" s="150"/>
      <x:c r="P332" s="150"/>
      <x:c r="Q332" s="151"/>
      <x:c r="R332" s="148" t="str">
        <x:f>IF(OR(Q332="",'Setup &amp; Lists'!$B$8=""),"",Q332*'Setup &amp; Lists'!$B$8)</x:f>
      </x:c>
      <x:c r="S332" s="115"/>
      <x:c r="T332" s="117"/>
      <x:c r="U332" s="119"/>
    </x:row>
    <x:row r="333">
      <x:c r="A333" s="139"/>
      <x:c r="B333" s="117"/>
      <x:c r="C333" s="117"/>
      <x:c r="D333" s="117"/>
      <x:c r="E333" s="117"/>
      <x:c r="F333" s="117"/>
      <x:c r="G333" s="117"/>
      <x:c r="H333" s="117"/>
      <x:c r="I333" s="117"/>
      <x:c r="J333" s="118"/>
      <x:c r="K333" s="140"/>
      <x:c r="L333" s="137" t="str">
        <x:f>IF(OR(J333="",K333=""),"",(K333-J333)*1440)</x:f>
      </x:c>
      <x:c r="M333" s="149"/>
      <x:c r="N333" s="150"/>
      <x:c r="O333" s="150"/>
      <x:c r="P333" s="150"/>
      <x:c r="Q333" s="151"/>
      <x:c r="R333" s="148" t="str">
        <x:f>IF(OR(Q333="",'Setup &amp; Lists'!$B$8=""),"",Q333*'Setup &amp; Lists'!$B$8)</x:f>
      </x:c>
      <x:c r="S333" s="115"/>
      <x:c r="T333" s="117"/>
      <x:c r="U333" s="119"/>
    </x:row>
    <x:row r="334">
      <x:c r="A334" s="139"/>
      <x:c r="B334" s="117"/>
      <x:c r="C334" s="117"/>
      <x:c r="D334" s="117"/>
      <x:c r="E334" s="117"/>
      <x:c r="F334" s="117"/>
      <x:c r="G334" s="117"/>
      <x:c r="H334" s="117"/>
      <x:c r="I334" s="117"/>
      <x:c r="J334" s="118"/>
      <x:c r="K334" s="140"/>
      <x:c r="L334" s="137" t="str">
        <x:f>IF(OR(J334="",K334=""),"",(K334-J334)*1440)</x:f>
      </x:c>
      <x:c r="M334" s="149"/>
      <x:c r="N334" s="150"/>
      <x:c r="O334" s="150"/>
      <x:c r="P334" s="150"/>
      <x:c r="Q334" s="151"/>
      <x:c r="R334" s="148" t="str">
        <x:f>IF(OR(Q334="",'Setup &amp; Lists'!$B$8=""),"",Q334*'Setup &amp; Lists'!$B$8)</x:f>
      </x:c>
      <x:c r="S334" s="115"/>
      <x:c r="T334" s="117"/>
      <x:c r="U334" s="119"/>
    </x:row>
    <x:row r="335">
      <x:c r="A335" s="139"/>
      <x:c r="B335" s="117"/>
      <x:c r="C335" s="117"/>
      <x:c r="D335" s="117"/>
      <x:c r="E335" s="117"/>
      <x:c r="F335" s="117"/>
      <x:c r="G335" s="117"/>
      <x:c r="H335" s="117"/>
      <x:c r="I335" s="117"/>
      <x:c r="J335" s="118"/>
      <x:c r="K335" s="140"/>
      <x:c r="L335" s="137" t="str">
        <x:f>IF(OR(J335="",K335=""),"",(K335-J335)*1440)</x:f>
      </x:c>
      <x:c r="M335" s="149"/>
      <x:c r="N335" s="150"/>
      <x:c r="O335" s="150"/>
      <x:c r="P335" s="150"/>
      <x:c r="Q335" s="151"/>
      <x:c r="R335" s="148" t="str">
        <x:f>IF(OR(Q335="",'Setup &amp; Lists'!$B$8=""),"",Q335*'Setup &amp; Lists'!$B$8)</x:f>
      </x:c>
      <x:c r="S335" s="115"/>
      <x:c r="T335" s="117"/>
      <x:c r="U335" s="119"/>
    </x:row>
    <x:row r="336">
      <x:c r="A336" s="139"/>
      <x:c r="B336" s="117"/>
      <x:c r="C336" s="117"/>
      <x:c r="D336" s="117"/>
      <x:c r="E336" s="117"/>
      <x:c r="F336" s="117"/>
      <x:c r="G336" s="117"/>
      <x:c r="H336" s="117"/>
      <x:c r="I336" s="117"/>
      <x:c r="J336" s="118"/>
      <x:c r="K336" s="140"/>
      <x:c r="L336" s="137" t="str">
        <x:f>IF(OR(J336="",K336=""),"",(K336-J336)*1440)</x:f>
      </x:c>
      <x:c r="M336" s="149"/>
      <x:c r="N336" s="150"/>
      <x:c r="O336" s="150"/>
      <x:c r="P336" s="150"/>
      <x:c r="Q336" s="151"/>
      <x:c r="R336" s="148" t="str">
        <x:f>IF(OR(Q336="",'Setup &amp; Lists'!$B$8=""),"",Q336*'Setup &amp; Lists'!$B$8)</x:f>
      </x:c>
      <x:c r="S336" s="115"/>
      <x:c r="T336" s="117"/>
      <x:c r="U336" s="119"/>
    </x:row>
    <x:row r="337">
      <x:c r="A337" s="139"/>
      <x:c r="B337" s="117"/>
      <x:c r="C337" s="117"/>
      <x:c r="D337" s="117"/>
      <x:c r="E337" s="117"/>
      <x:c r="F337" s="117"/>
      <x:c r="G337" s="117"/>
      <x:c r="H337" s="117"/>
      <x:c r="I337" s="117"/>
      <x:c r="J337" s="118"/>
      <x:c r="K337" s="140"/>
      <x:c r="L337" s="137" t="str">
        <x:f>IF(OR(J337="",K337=""),"",(K337-J337)*1440)</x:f>
      </x:c>
      <x:c r="M337" s="149"/>
      <x:c r="N337" s="150"/>
      <x:c r="O337" s="150"/>
      <x:c r="P337" s="150"/>
      <x:c r="Q337" s="151"/>
      <x:c r="R337" s="148" t="str">
        <x:f>IF(OR(Q337="",'Setup &amp; Lists'!$B$8=""),"",Q337*'Setup &amp; Lists'!$B$8)</x:f>
      </x:c>
      <x:c r="S337" s="115"/>
      <x:c r="T337" s="117"/>
      <x:c r="U337" s="119"/>
    </x:row>
    <x:row r="338">
      <x:c r="A338" s="139"/>
      <x:c r="B338" s="117"/>
      <x:c r="C338" s="117"/>
      <x:c r="D338" s="117"/>
      <x:c r="E338" s="117"/>
      <x:c r="F338" s="117"/>
      <x:c r="G338" s="117"/>
      <x:c r="H338" s="117"/>
      <x:c r="I338" s="117"/>
      <x:c r="J338" s="118"/>
      <x:c r="K338" s="140"/>
      <x:c r="L338" s="137" t="str">
        <x:f>IF(OR(J338="",K338=""),"",(K338-J338)*1440)</x:f>
      </x:c>
      <x:c r="M338" s="149"/>
      <x:c r="N338" s="150"/>
      <x:c r="O338" s="150"/>
      <x:c r="P338" s="150"/>
      <x:c r="Q338" s="151"/>
      <x:c r="R338" s="148" t="str">
        <x:f>IF(OR(Q338="",'Setup &amp; Lists'!$B$8=""),"",Q338*'Setup &amp; Lists'!$B$8)</x:f>
      </x:c>
      <x:c r="S338" s="115"/>
      <x:c r="T338" s="117"/>
      <x:c r="U338" s="119"/>
    </x:row>
    <x:row r="339">
      <x:c r="A339" s="139"/>
      <x:c r="B339" s="117"/>
      <x:c r="C339" s="117"/>
      <x:c r="D339" s="117"/>
      <x:c r="E339" s="117"/>
      <x:c r="F339" s="117"/>
      <x:c r="G339" s="117"/>
      <x:c r="H339" s="117"/>
      <x:c r="I339" s="117"/>
      <x:c r="J339" s="118"/>
      <x:c r="K339" s="140"/>
      <x:c r="L339" s="137" t="str">
        <x:f>IF(OR(J339="",K339=""),"",(K339-J339)*1440)</x:f>
      </x:c>
      <x:c r="M339" s="149"/>
      <x:c r="N339" s="150"/>
      <x:c r="O339" s="150"/>
      <x:c r="P339" s="150"/>
      <x:c r="Q339" s="151"/>
      <x:c r="R339" s="148" t="str">
        <x:f>IF(OR(Q339="",'Setup &amp; Lists'!$B$8=""),"",Q339*'Setup &amp; Lists'!$B$8)</x:f>
      </x:c>
      <x:c r="S339" s="115"/>
      <x:c r="T339" s="117"/>
      <x:c r="U339" s="119"/>
    </x:row>
    <x:row r="340">
      <x:c r="A340" s="139"/>
      <x:c r="B340" s="117"/>
      <x:c r="C340" s="117"/>
      <x:c r="D340" s="117"/>
      <x:c r="E340" s="117"/>
      <x:c r="F340" s="117"/>
      <x:c r="G340" s="117"/>
      <x:c r="H340" s="117"/>
      <x:c r="I340" s="117"/>
      <x:c r="J340" s="118"/>
      <x:c r="K340" s="140"/>
      <x:c r="L340" s="137" t="str">
        <x:f>IF(OR(J340="",K340=""),"",(K340-J340)*1440)</x:f>
      </x:c>
      <x:c r="M340" s="149"/>
      <x:c r="N340" s="150"/>
      <x:c r="O340" s="150"/>
      <x:c r="P340" s="150"/>
      <x:c r="Q340" s="151"/>
      <x:c r="R340" s="148" t="str">
        <x:f>IF(OR(Q340="",'Setup &amp; Lists'!$B$8=""),"",Q340*'Setup &amp; Lists'!$B$8)</x:f>
      </x:c>
      <x:c r="S340" s="115"/>
      <x:c r="T340" s="117"/>
      <x:c r="U340" s="119"/>
    </x:row>
    <x:row r="341">
      <x:c r="A341" s="139"/>
      <x:c r="B341" s="117"/>
      <x:c r="C341" s="117"/>
      <x:c r="D341" s="117"/>
      <x:c r="E341" s="117"/>
      <x:c r="F341" s="117"/>
      <x:c r="G341" s="117"/>
      <x:c r="H341" s="117"/>
      <x:c r="I341" s="117"/>
      <x:c r="J341" s="118"/>
      <x:c r="K341" s="140"/>
      <x:c r="L341" s="137" t="str">
        <x:f>IF(OR(J341="",K341=""),"",(K341-J341)*1440)</x:f>
      </x:c>
      <x:c r="M341" s="149"/>
      <x:c r="N341" s="150"/>
      <x:c r="O341" s="150"/>
      <x:c r="P341" s="150"/>
      <x:c r="Q341" s="151"/>
      <x:c r="R341" s="148" t="str">
        <x:f>IF(OR(Q341="",'Setup &amp; Lists'!$B$8=""),"",Q341*'Setup &amp; Lists'!$B$8)</x:f>
      </x:c>
      <x:c r="S341" s="115"/>
      <x:c r="T341" s="117"/>
      <x:c r="U341" s="119"/>
    </x:row>
    <x:row r="342">
      <x:c r="A342" s="139"/>
      <x:c r="B342" s="117"/>
      <x:c r="C342" s="117"/>
      <x:c r="D342" s="117"/>
      <x:c r="E342" s="117"/>
      <x:c r="F342" s="117"/>
      <x:c r="G342" s="117"/>
      <x:c r="H342" s="117"/>
      <x:c r="I342" s="117"/>
      <x:c r="J342" s="118"/>
      <x:c r="K342" s="140"/>
      <x:c r="L342" s="137" t="str">
        <x:f>IF(OR(J342="",K342=""),"",(K342-J342)*1440)</x:f>
      </x:c>
      <x:c r="M342" s="149"/>
      <x:c r="N342" s="150"/>
      <x:c r="O342" s="150"/>
      <x:c r="P342" s="150"/>
      <x:c r="Q342" s="151"/>
      <x:c r="R342" s="148" t="str">
        <x:f>IF(OR(Q342="",'Setup &amp; Lists'!$B$8=""),"",Q342*'Setup &amp; Lists'!$B$8)</x:f>
      </x:c>
      <x:c r="S342" s="115"/>
      <x:c r="T342" s="117"/>
      <x:c r="U342" s="119"/>
    </x:row>
    <x:row r="343">
      <x:c r="A343" s="139"/>
      <x:c r="B343" s="117"/>
      <x:c r="C343" s="117"/>
      <x:c r="D343" s="117"/>
      <x:c r="E343" s="117"/>
      <x:c r="F343" s="117"/>
      <x:c r="G343" s="117"/>
      <x:c r="H343" s="117"/>
      <x:c r="I343" s="117"/>
      <x:c r="J343" s="118"/>
      <x:c r="K343" s="140"/>
      <x:c r="L343" s="137" t="str">
        <x:f>IF(OR(J343="",K343=""),"",(K343-J343)*1440)</x:f>
      </x:c>
      <x:c r="M343" s="149"/>
      <x:c r="N343" s="150"/>
      <x:c r="O343" s="150"/>
      <x:c r="P343" s="150"/>
      <x:c r="Q343" s="151"/>
      <x:c r="R343" s="148" t="str">
        <x:f>IF(OR(Q343="",'Setup &amp; Lists'!$B$8=""),"",Q343*'Setup &amp; Lists'!$B$8)</x:f>
      </x:c>
      <x:c r="S343" s="115"/>
      <x:c r="T343" s="117"/>
      <x:c r="U343" s="119"/>
    </x:row>
    <x:row r="344">
      <x:c r="A344" s="139"/>
      <x:c r="B344" s="117"/>
      <x:c r="C344" s="117"/>
      <x:c r="D344" s="117"/>
      <x:c r="E344" s="117"/>
      <x:c r="F344" s="117"/>
      <x:c r="G344" s="117"/>
      <x:c r="H344" s="117"/>
      <x:c r="I344" s="117"/>
      <x:c r="J344" s="118"/>
      <x:c r="K344" s="140"/>
      <x:c r="L344" s="137" t="str">
        <x:f>IF(OR(J344="",K344=""),"",(K344-J344)*1440)</x:f>
      </x:c>
      <x:c r="M344" s="149"/>
      <x:c r="N344" s="150"/>
      <x:c r="O344" s="150"/>
      <x:c r="P344" s="150"/>
      <x:c r="Q344" s="151"/>
      <x:c r="R344" s="148" t="str">
        <x:f>IF(OR(Q344="",'Setup &amp; Lists'!$B$8=""),"",Q344*'Setup &amp; Lists'!$B$8)</x:f>
      </x:c>
      <x:c r="S344" s="115"/>
      <x:c r="T344" s="117"/>
      <x:c r="U344" s="119"/>
    </x:row>
    <x:row r="345">
      <x:c r="A345" s="139"/>
      <x:c r="B345" s="117"/>
      <x:c r="C345" s="117"/>
      <x:c r="D345" s="117"/>
      <x:c r="E345" s="117"/>
      <x:c r="F345" s="117"/>
      <x:c r="G345" s="117"/>
      <x:c r="H345" s="117"/>
      <x:c r="I345" s="117"/>
      <x:c r="J345" s="118"/>
      <x:c r="K345" s="140"/>
      <x:c r="L345" s="137" t="str">
        <x:f>IF(OR(J345="",K345=""),"",(K345-J345)*1440)</x:f>
      </x:c>
      <x:c r="M345" s="149"/>
      <x:c r="N345" s="150"/>
      <x:c r="O345" s="150"/>
      <x:c r="P345" s="150"/>
      <x:c r="Q345" s="151"/>
      <x:c r="R345" s="148" t="str">
        <x:f>IF(OR(Q345="",'Setup &amp; Lists'!$B$8=""),"",Q345*'Setup &amp; Lists'!$B$8)</x:f>
      </x:c>
      <x:c r="S345" s="115"/>
      <x:c r="T345" s="117"/>
      <x:c r="U345" s="119"/>
    </x:row>
    <x:row r="346">
      <x:c r="A346" s="139"/>
      <x:c r="B346" s="117"/>
      <x:c r="C346" s="117"/>
      <x:c r="D346" s="117"/>
      <x:c r="E346" s="117"/>
      <x:c r="F346" s="117"/>
      <x:c r="G346" s="117"/>
      <x:c r="H346" s="117"/>
      <x:c r="I346" s="117"/>
      <x:c r="J346" s="118"/>
      <x:c r="K346" s="140"/>
      <x:c r="L346" s="137" t="str">
        <x:f>IF(OR(J346="",K346=""),"",(K346-J346)*1440)</x:f>
      </x:c>
      <x:c r="M346" s="149"/>
      <x:c r="N346" s="150"/>
      <x:c r="O346" s="150"/>
      <x:c r="P346" s="150"/>
      <x:c r="Q346" s="151"/>
      <x:c r="R346" s="148" t="str">
        <x:f>IF(OR(Q346="",'Setup &amp; Lists'!$B$8=""),"",Q346*'Setup &amp; Lists'!$B$8)</x:f>
      </x:c>
      <x:c r="S346" s="115"/>
      <x:c r="T346" s="117"/>
      <x:c r="U346" s="119"/>
    </x:row>
    <x:row r="347">
      <x:c r="A347" s="139"/>
      <x:c r="B347" s="117"/>
      <x:c r="C347" s="117"/>
      <x:c r="D347" s="117"/>
      <x:c r="E347" s="117"/>
      <x:c r="F347" s="117"/>
      <x:c r="G347" s="117"/>
      <x:c r="H347" s="117"/>
      <x:c r="I347" s="117"/>
      <x:c r="J347" s="118"/>
      <x:c r="K347" s="140"/>
      <x:c r="L347" s="137" t="str">
        <x:f>IF(OR(J347="",K347=""),"",(K347-J347)*1440)</x:f>
      </x:c>
      <x:c r="M347" s="149"/>
      <x:c r="N347" s="150"/>
      <x:c r="O347" s="150"/>
      <x:c r="P347" s="150"/>
      <x:c r="Q347" s="151"/>
      <x:c r="R347" s="148" t="str">
        <x:f>IF(OR(Q347="",'Setup &amp; Lists'!$B$8=""),"",Q347*'Setup &amp; Lists'!$B$8)</x:f>
      </x:c>
      <x:c r="S347" s="115"/>
      <x:c r="T347" s="117"/>
      <x:c r="U347" s="119"/>
    </x:row>
    <x:row r="348">
      <x:c r="A348" s="139"/>
      <x:c r="B348" s="117"/>
      <x:c r="C348" s="117"/>
      <x:c r="D348" s="117"/>
      <x:c r="E348" s="117"/>
      <x:c r="F348" s="117"/>
      <x:c r="G348" s="117"/>
      <x:c r="H348" s="117"/>
      <x:c r="I348" s="117"/>
      <x:c r="J348" s="118"/>
      <x:c r="K348" s="140"/>
      <x:c r="L348" s="137" t="str">
        <x:f>IF(OR(J348="",K348=""),"",(K348-J348)*1440)</x:f>
      </x:c>
      <x:c r="M348" s="149"/>
      <x:c r="N348" s="150"/>
      <x:c r="O348" s="150"/>
      <x:c r="P348" s="150"/>
      <x:c r="Q348" s="151"/>
      <x:c r="R348" s="148" t="str">
        <x:f>IF(OR(Q348="",'Setup &amp; Lists'!$B$8=""),"",Q348*'Setup &amp; Lists'!$B$8)</x:f>
      </x:c>
      <x:c r="S348" s="115"/>
      <x:c r="T348" s="117"/>
      <x:c r="U348" s="119"/>
    </x:row>
    <x:row r="349">
      <x:c r="A349" s="139"/>
      <x:c r="B349" s="117"/>
      <x:c r="C349" s="117"/>
      <x:c r="D349" s="117"/>
      <x:c r="E349" s="117"/>
      <x:c r="F349" s="117"/>
      <x:c r="G349" s="117"/>
      <x:c r="H349" s="117"/>
      <x:c r="I349" s="117"/>
      <x:c r="J349" s="118"/>
      <x:c r="K349" s="140"/>
      <x:c r="L349" s="137" t="str">
        <x:f>IF(OR(J349="",K349=""),"",(K349-J349)*1440)</x:f>
      </x:c>
      <x:c r="M349" s="149"/>
      <x:c r="N349" s="150"/>
      <x:c r="O349" s="150"/>
      <x:c r="P349" s="150"/>
      <x:c r="Q349" s="151"/>
      <x:c r="R349" s="148" t="str">
        <x:f>IF(OR(Q349="",'Setup &amp; Lists'!$B$8=""),"",Q349*'Setup &amp; Lists'!$B$8)</x:f>
      </x:c>
      <x:c r="S349" s="115"/>
      <x:c r="T349" s="117"/>
      <x:c r="U349" s="119"/>
    </x:row>
    <x:row r="350">
      <x:c r="A350" s="139"/>
      <x:c r="B350" s="117"/>
      <x:c r="C350" s="117"/>
      <x:c r="D350" s="117"/>
      <x:c r="E350" s="117"/>
      <x:c r="F350" s="117"/>
      <x:c r="G350" s="117"/>
      <x:c r="H350" s="117"/>
      <x:c r="I350" s="117"/>
      <x:c r="J350" s="118"/>
      <x:c r="K350" s="140"/>
      <x:c r="L350" s="137" t="str">
        <x:f>IF(OR(J350="",K350=""),"",(K350-J350)*1440)</x:f>
      </x:c>
      <x:c r="M350" s="149"/>
      <x:c r="N350" s="150"/>
      <x:c r="O350" s="150"/>
      <x:c r="P350" s="150"/>
      <x:c r="Q350" s="151"/>
      <x:c r="R350" s="148" t="str">
        <x:f>IF(OR(Q350="",'Setup &amp; Lists'!$B$8=""),"",Q350*'Setup &amp; Lists'!$B$8)</x:f>
      </x:c>
      <x:c r="S350" s="115"/>
      <x:c r="T350" s="117"/>
      <x:c r="U350" s="119"/>
    </x:row>
    <x:row r="351">
      <x:c r="A351" s="139"/>
      <x:c r="B351" s="117"/>
      <x:c r="C351" s="117"/>
      <x:c r="D351" s="117"/>
      <x:c r="E351" s="117"/>
      <x:c r="F351" s="117"/>
      <x:c r="G351" s="117"/>
      <x:c r="H351" s="117"/>
      <x:c r="I351" s="117"/>
      <x:c r="J351" s="118"/>
      <x:c r="K351" s="140"/>
      <x:c r="L351" s="137" t="str">
        <x:f>IF(OR(J351="",K351=""),"",(K351-J351)*1440)</x:f>
      </x:c>
      <x:c r="M351" s="149"/>
      <x:c r="N351" s="150"/>
      <x:c r="O351" s="150"/>
      <x:c r="P351" s="150"/>
      <x:c r="Q351" s="151"/>
      <x:c r="R351" s="148" t="str">
        <x:f>IF(OR(Q351="",'Setup &amp; Lists'!$B$8=""),"",Q351*'Setup &amp; Lists'!$B$8)</x:f>
      </x:c>
      <x:c r="S351" s="115"/>
      <x:c r="T351" s="117"/>
      <x:c r="U351" s="119"/>
    </x:row>
    <x:row r="352">
      <x:c r="A352" s="139"/>
      <x:c r="B352" s="117"/>
      <x:c r="C352" s="117"/>
      <x:c r="D352" s="117"/>
      <x:c r="E352" s="117"/>
      <x:c r="F352" s="117"/>
      <x:c r="G352" s="117"/>
      <x:c r="H352" s="117"/>
      <x:c r="I352" s="117"/>
      <x:c r="J352" s="118"/>
      <x:c r="K352" s="140"/>
      <x:c r="L352" s="137" t="str">
        <x:f>IF(OR(J352="",K352=""),"",(K352-J352)*1440)</x:f>
      </x:c>
      <x:c r="M352" s="149"/>
      <x:c r="N352" s="150"/>
      <x:c r="O352" s="150"/>
      <x:c r="P352" s="150"/>
      <x:c r="Q352" s="151"/>
      <x:c r="R352" s="148" t="str">
        <x:f>IF(OR(Q352="",'Setup &amp; Lists'!$B$8=""),"",Q352*'Setup &amp; Lists'!$B$8)</x:f>
      </x:c>
      <x:c r="S352" s="115"/>
      <x:c r="T352" s="117"/>
      <x:c r="U352" s="119"/>
    </x:row>
    <x:row r="353">
      <x:c r="A353" s="139"/>
      <x:c r="B353" s="117"/>
      <x:c r="C353" s="117"/>
      <x:c r="D353" s="117"/>
      <x:c r="E353" s="117"/>
      <x:c r="F353" s="117"/>
      <x:c r="G353" s="117"/>
      <x:c r="H353" s="117"/>
      <x:c r="I353" s="117"/>
      <x:c r="J353" s="118"/>
      <x:c r="K353" s="140"/>
      <x:c r="L353" s="137" t="str">
        <x:f>IF(OR(J353="",K353=""),"",(K353-J353)*1440)</x:f>
      </x:c>
      <x:c r="M353" s="149"/>
      <x:c r="N353" s="150"/>
      <x:c r="O353" s="150"/>
      <x:c r="P353" s="150"/>
      <x:c r="Q353" s="151"/>
      <x:c r="R353" s="148" t="str">
        <x:f>IF(OR(Q353="",'Setup &amp; Lists'!$B$8=""),"",Q353*'Setup &amp; Lists'!$B$8)</x:f>
      </x:c>
      <x:c r="S353" s="115"/>
      <x:c r="T353" s="117"/>
      <x:c r="U353" s="119"/>
    </x:row>
    <x:row r="354">
      <x:c r="A354" s="139"/>
      <x:c r="B354" s="117"/>
      <x:c r="C354" s="117"/>
      <x:c r="D354" s="117"/>
      <x:c r="E354" s="117"/>
      <x:c r="F354" s="117"/>
      <x:c r="G354" s="117"/>
      <x:c r="H354" s="117"/>
      <x:c r="I354" s="117"/>
      <x:c r="J354" s="118"/>
      <x:c r="K354" s="140"/>
      <x:c r="L354" s="137" t="str">
        <x:f>IF(OR(J354="",K354=""),"",(K354-J354)*1440)</x:f>
      </x:c>
      <x:c r="M354" s="149"/>
      <x:c r="N354" s="150"/>
      <x:c r="O354" s="150"/>
      <x:c r="P354" s="150"/>
      <x:c r="Q354" s="151"/>
      <x:c r="R354" s="148" t="str">
        <x:f>IF(OR(Q354="",'Setup &amp; Lists'!$B$8=""),"",Q354*'Setup &amp; Lists'!$B$8)</x:f>
      </x:c>
      <x:c r="S354" s="115"/>
      <x:c r="T354" s="117"/>
      <x:c r="U354" s="119"/>
    </x:row>
    <x:row r="355">
      <x:c r="A355" s="139"/>
      <x:c r="B355" s="117"/>
      <x:c r="C355" s="117"/>
      <x:c r="D355" s="117"/>
      <x:c r="E355" s="117"/>
      <x:c r="F355" s="117"/>
      <x:c r="G355" s="117"/>
      <x:c r="H355" s="117"/>
      <x:c r="I355" s="117"/>
      <x:c r="J355" s="118"/>
      <x:c r="K355" s="140"/>
      <x:c r="L355" s="137" t="str">
        <x:f>IF(OR(J355="",K355=""),"",(K355-J355)*1440)</x:f>
      </x:c>
      <x:c r="M355" s="149"/>
      <x:c r="N355" s="150"/>
      <x:c r="O355" s="150"/>
      <x:c r="P355" s="150"/>
      <x:c r="Q355" s="151"/>
      <x:c r="R355" s="148" t="str">
        <x:f>IF(OR(Q355="",'Setup &amp; Lists'!$B$8=""),"",Q355*'Setup &amp; Lists'!$B$8)</x:f>
      </x:c>
      <x:c r="S355" s="115"/>
      <x:c r="T355" s="117"/>
      <x:c r="U355" s="119"/>
    </x:row>
    <x:row r="356">
      <x:c r="A356" s="139"/>
      <x:c r="B356" s="117"/>
      <x:c r="C356" s="117"/>
      <x:c r="D356" s="117"/>
      <x:c r="E356" s="117"/>
      <x:c r="F356" s="117"/>
      <x:c r="G356" s="117"/>
      <x:c r="H356" s="117"/>
      <x:c r="I356" s="117"/>
      <x:c r="J356" s="118"/>
      <x:c r="K356" s="140"/>
      <x:c r="L356" s="137" t="str">
        <x:f>IF(OR(J356="",K356=""),"",(K356-J356)*1440)</x:f>
      </x:c>
      <x:c r="M356" s="149"/>
      <x:c r="N356" s="150"/>
      <x:c r="O356" s="150"/>
      <x:c r="P356" s="150"/>
      <x:c r="Q356" s="151"/>
      <x:c r="R356" s="148" t="str">
        <x:f>IF(OR(Q356="",'Setup &amp; Lists'!$B$8=""),"",Q356*'Setup &amp; Lists'!$B$8)</x:f>
      </x:c>
      <x:c r="S356" s="115"/>
      <x:c r="T356" s="117"/>
      <x:c r="U356" s="119"/>
    </x:row>
    <x:row r="357">
      <x:c r="A357" s="139"/>
      <x:c r="B357" s="117"/>
      <x:c r="C357" s="117"/>
      <x:c r="D357" s="117"/>
      <x:c r="E357" s="117"/>
      <x:c r="F357" s="117"/>
      <x:c r="G357" s="117"/>
      <x:c r="H357" s="117"/>
      <x:c r="I357" s="117"/>
      <x:c r="J357" s="118"/>
      <x:c r="K357" s="140"/>
      <x:c r="L357" s="137" t="str">
        <x:f>IF(OR(J357="",K357=""),"",(K357-J357)*1440)</x:f>
      </x:c>
      <x:c r="M357" s="149"/>
      <x:c r="N357" s="150"/>
      <x:c r="O357" s="150"/>
      <x:c r="P357" s="150"/>
      <x:c r="Q357" s="151"/>
      <x:c r="R357" s="148" t="str">
        <x:f>IF(OR(Q357="",'Setup &amp; Lists'!$B$8=""),"",Q357*'Setup &amp; Lists'!$B$8)</x:f>
      </x:c>
      <x:c r="S357" s="115"/>
      <x:c r="T357" s="117"/>
      <x:c r="U357" s="119"/>
    </x:row>
    <x:row r="358">
      <x:c r="A358" s="139"/>
      <x:c r="B358" s="117"/>
      <x:c r="C358" s="117"/>
      <x:c r="D358" s="117"/>
      <x:c r="E358" s="117"/>
      <x:c r="F358" s="117"/>
      <x:c r="G358" s="117"/>
      <x:c r="H358" s="117"/>
      <x:c r="I358" s="117"/>
      <x:c r="J358" s="118"/>
      <x:c r="K358" s="140"/>
      <x:c r="L358" s="137" t="str">
        <x:f>IF(OR(J358="",K358=""),"",(K358-J358)*1440)</x:f>
      </x:c>
      <x:c r="M358" s="149"/>
      <x:c r="N358" s="150"/>
      <x:c r="O358" s="150"/>
      <x:c r="P358" s="150"/>
      <x:c r="Q358" s="151"/>
      <x:c r="R358" s="148" t="str">
        <x:f>IF(OR(Q358="",'Setup &amp; Lists'!$B$8=""),"",Q358*'Setup &amp; Lists'!$B$8)</x:f>
      </x:c>
      <x:c r="S358" s="115"/>
      <x:c r="T358" s="117"/>
      <x:c r="U358" s="119"/>
    </x:row>
    <x:row r="359">
      <x:c r="A359" s="139"/>
      <x:c r="B359" s="117"/>
      <x:c r="C359" s="117"/>
      <x:c r="D359" s="117"/>
      <x:c r="E359" s="117"/>
      <x:c r="F359" s="117"/>
      <x:c r="G359" s="117"/>
      <x:c r="H359" s="117"/>
      <x:c r="I359" s="117"/>
      <x:c r="J359" s="118"/>
      <x:c r="K359" s="140"/>
      <x:c r="L359" s="137" t="str">
        <x:f>IF(OR(J359="",K359=""),"",(K359-J359)*1440)</x:f>
      </x:c>
      <x:c r="M359" s="149"/>
      <x:c r="N359" s="150"/>
      <x:c r="O359" s="150"/>
      <x:c r="P359" s="150"/>
      <x:c r="Q359" s="151"/>
      <x:c r="R359" s="148" t="str">
        <x:f>IF(OR(Q359="",'Setup &amp; Lists'!$B$8=""),"",Q359*'Setup &amp; Lists'!$B$8)</x:f>
      </x:c>
      <x:c r="S359" s="115"/>
      <x:c r="T359" s="117"/>
      <x:c r="U359" s="119"/>
    </x:row>
    <x:row r="360">
      <x:c r="A360" s="139"/>
      <x:c r="B360" s="117"/>
      <x:c r="C360" s="117"/>
      <x:c r="D360" s="117"/>
      <x:c r="E360" s="117"/>
      <x:c r="F360" s="117"/>
      <x:c r="G360" s="117"/>
      <x:c r="H360" s="117"/>
      <x:c r="I360" s="117"/>
      <x:c r="J360" s="118"/>
      <x:c r="K360" s="140"/>
      <x:c r="L360" s="137" t="str">
        <x:f>IF(OR(J360="",K360=""),"",(K360-J360)*1440)</x:f>
      </x:c>
      <x:c r="M360" s="149"/>
      <x:c r="N360" s="150"/>
      <x:c r="O360" s="150"/>
      <x:c r="P360" s="150"/>
      <x:c r="Q360" s="151"/>
      <x:c r="R360" s="148" t="str">
        <x:f>IF(OR(Q360="",'Setup &amp; Lists'!$B$8=""),"",Q360*'Setup &amp; Lists'!$B$8)</x:f>
      </x:c>
      <x:c r="S360" s="115"/>
      <x:c r="T360" s="117"/>
      <x:c r="U360" s="119"/>
    </x:row>
    <x:row r="361">
      <x:c r="A361" s="139"/>
      <x:c r="B361" s="117"/>
      <x:c r="C361" s="117"/>
      <x:c r="D361" s="117"/>
      <x:c r="E361" s="117"/>
      <x:c r="F361" s="117"/>
      <x:c r="G361" s="117"/>
      <x:c r="H361" s="117"/>
      <x:c r="I361" s="117"/>
      <x:c r="J361" s="118"/>
      <x:c r="K361" s="140"/>
      <x:c r="L361" s="137" t="str">
        <x:f>IF(OR(J361="",K361=""),"",(K361-J361)*1440)</x:f>
      </x:c>
      <x:c r="M361" s="149"/>
      <x:c r="N361" s="150"/>
      <x:c r="O361" s="150"/>
      <x:c r="P361" s="150"/>
      <x:c r="Q361" s="151"/>
      <x:c r="R361" s="148" t="str">
        <x:f>IF(OR(Q361="",'Setup &amp; Lists'!$B$8=""),"",Q361*'Setup &amp; Lists'!$B$8)</x:f>
      </x:c>
      <x:c r="S361" s="115"/>
      <x:c r="T361" s="117"/>
      <x:c r="U361" s="119"/>
    </x:row>
    <x:row r="362">
      <x:c r="A362" s="139"/>
      <x:c r="B362" s="117"/>
      <x:c r="C362" s="117"/>
      <x:c r="D362" s="117"/>
      <x:c r="E362" s="117"/>
      <x:c r="F362" s="117"/>
      <x:c r="G362" s="117"/>
      <x:c r="H362" s="117"/>
      <x:c r="I362" s="117"/>
      <x:c r="J362" s="118"/>
      <x:c r="K362" s="140"/>
      <x:c r="L362" s="137" t="str">
        <x:f>IF(OR(J362="",K362=""),"",(K362-J362)*1440)</x:f>
      </x:c>
      <x:c r="M362" s="149"/>
      <x:c r="N362" s="150"/>
      <x:c r="O362" s="150"/>
      <x:c r="P362" s="150"/>
      <x:c r="Q362" s="151"/>
      <x:c r="R362" s="148" t="str">
        <x:f>IF(OR(Q362="",'Setup &amp; Lists'!$B$8=""),"",Q362*'Setup &amp; Lists'!$B$8)</x:f>
      </x:c>
      <x:c r="S362" s="115"/>
      <x:c r="T362" s="117"/>
      <x:c r="U362" s="119"/>
    </x:row>
    <x:row r="363">
      <x:c r="A363" s="139"/>
      <x:c r="B363" s="117"/>
      <x:c r="C363" s="117"/>
      <x:c r="D363" s="117"/>
      <x:c r="E363" s="117"/>
      <x:c r="F363" s="117"/>
      <x:c r="G363" s="117"/>
      <x:c r="H363" s="117"/>
      <x:c r="I363" s="117"/>
      <x:c r="J363" s="118"/>
      <x:c r="K363" s="140"/>
      <x:c r="L363" s="137" t="str">
        <x:f>IF(OR(J363="",K363=""),"",(K363-J363)*1440)</x:f>
      </x:c>
      <x:c r="M363" s="149"/>
      <x:c r="N363" s="150"/>
      <x:c r="O363" s="150"/>
      <x:c r="P363" s="150"/>
      <x:c r="Q363" s="151"/>
      <x:c r="R363" s="148" t="str">
        <x:f>IF(OR(Q363="",'Setup &amp; Lists'!$B$8=""),"",Q363*'Setup &amp; Lists'!$B$8)</x:f>
      </x:c>
      <x:c r="S363" s="115"/>
      <x:c r="T363" s="117"/>
      <x:c r="U363" s="119"/>
    </x:row>
    <x:row r="364">
      <x:c r="A364" s="139"/>
      <x:c r="B364" s="117"/>
      <x:c r="C364" s="117"/>
      <x:c r="D364" s="117"/>
      <x:c r="E364" s="117"/>
      <x:c r="F364" s="117"/>
      <x:c r="G364" s="117"/>
      <x:c r="H364" s="117"/>
      <x:c r="I364" s="117"/>
      <x:c r="J364" s="118"/>
      <x:c r="K364" s="140"/>
      <x:c r="L364" s="137" t="str">
        <x:f>IF(OR(J364="",K364=""),"",(K364-J364)*1440)</x:f>
      </x:c>
      <x:c r="M364" s="149"/>
      <x:c r="N364" s="150"/>
      <x:c r="O364" s="150"/>
      <x:c r="P364" s="150"/>
      <x:c r="Q364" s="151"/>
      <x:c r="R364" s="148" t="str">
        <x:f>IF(OR(Q364="",'Setup &amp; Lists'!$B$8=""),"",Q364*'Setup &amp; Lists'!$B$8)</x:f>
      </x:c>
      <x:c r="S364" s="115"/>
      <x:c r="T364" s="117"/>
      <x:c r="U364" s="119"/>
    </x:row>
    <x:row r="365">
      <x:c r="A365" s="139"/>
      <x:c r="B365" s="117"/>
      <x:c r="C365" s="117"/>
      <x:c r="D365" s="117"/>
      <x:c r="E365" s="117"/>
      <x:c r="F365" s="117"/>
      <x:c r="G365" s="117"/>
      <x:c r="H365" s="117"/>
      <x:c r="I365" s="117"/>
      <x:c r="J365" s="118"/>
      <x:c r="K365" s="140"/>
      <x:c r="L365" s="137" t="str">
        <x:f>IF(OR(J365="",K365=""),"",(K365-J365)*1440)</x:f>
      </x:c>
      <x:c r="M365" s="149"/>
      <x:c r="N365" s="150"/>
      <x:c r="O365" s="150"/>
      <x:c r="P365" s="150"/>
      <x:c r="Q365" s="151"/>
      <x:c r="R365" s="148" t="str">
        <x:f>IF(OR(Q365="",'Setup &amp; Lists'!$B$8=""),"",Q365*'Setup &amp; Lists'!$B$8)</x:f>
      </x:c>
      <x:c r="S365" s="115"/>
      <x:c r="T365" s="117"/>
      <x:c r="U365" s="119"/>
    </x:row>
    <x:row r="366">
      <x:c r="A366" s="139"/>
      <x:c r="B366" s="117"/>
      <x:c r="C366" s="117"/>
      <x:c r="D366" s="117"/>
      <x:c r="E366" s="117"/>
      <x:c r="F366" s="117"/>
      <x:c r="G366" s="117"/>
      <x:c r="H366" s="117"/>
      <x:c r="I366" s="117"/>
      <x:c r="J366" s="118"/>
      <x:c r="K366" s="140"/>
      <x:c r="L366" s="137" t="str">
        <x:f>IF(OR(J366="",K366=""),"",(K366-J366)*1440)</x:f>
      </x:c>
      <x:c r="M366" s="149"/>
      <x:c r="N366" s="150"/>
      <x:c r="O366" s="150"/>
      <x:c r="P366" s="150"/>
      <x:c r="Q366" s="151"/>
      <x:c r="R366" s="148" t="str">
        <x:f>IF(OR(Q366="",'Setup &amp; Lists'!$B$8=""),"",Q366*'Setup &amp; Lists'!$B$8)</x:f>
      </x:c>
      <x:c r="S366" s="115"/>
      <x:c r="T366" s="117"/>
      <x:c r="U366" s="119"/>
    </x:row>
    <x:row r="367">
      <x:c r="A367" s="139"/>
      <x:c r="B367" s="117"/>
      <x:c r="C367" s="117"/>
      <x:c r="D367" s="117"/>
      <x:c r="E367" s="117"/>
      <x:c r="F367" s="117"/>
      <x:c r="G367" s="117"/>
      <x:c r="H367" s="117"/>
      <x:c r="I367" s="117"/>
      <x:c r="J367" s="118"/>
      <x:c r="K367" s="140"/>
      <x:c r="L367" s="137" t="str">
        <x:f>IF(OR(J367="",K367=""),"",(K367-J367)*1440)</x:f>
      </x:c>
      <x:c r="M367" s="149"/>
      <x:c r="N367" s="150"/>
      <x:c r="O367" s="150"/>
      <x:c r="P367" s="150"/>
      <x:c r="Q367" s="151"/>
      <x:c r="R367" s="148" t="str">
        <x:f>IF(OR(Q367="",'Setup &amp; Lists'!$B$8=""),"",Q367*'Setup &amp; Lists'!$B$8)</x:f>
      </x:c>
      <x:c r="S367" s="115"/>
      <x:c r="T367" s="117"/>
      <x:c r="U367" s="119"/>
    </x:row>
    <x:row r="368">
      <x:c r="A368" s="139"/>
      <x:c r="B368" s="117"/>
      <x:c r="C368" s="117"/>
      <x:c r="D368" s="117"/>
      <x:c r="E368" s="117"/>
      <x:c r="F368" s="117"/>
      <x:c r="G368" s="117"/>
      <x:c r="H368" s="117"/>
      <x:c r="I368" s="117"/>
      <x:c r="J368" s="118"/>
      <x:c r="K368" s="140"/>
      <x:c r="L368" s="137" t="str">
        <x:f>IF(OR(J368="",K368=""),"",(K368-J368)*1440)</x:f>
      </x:c>
      <x:c r="M368" s="149"/>
      <x:c r="N368" s="150"/>
      <x:c r="O368" s="150"/>
      <x:c r="P368" s="150"/>
      <x:c r="Q368" s="151"/>
      <x:c r="R368" s="148" t="str">
        <x:f>IF(OR(Q368="",'Setup &amp; Lists'!$B$8=""),"",Q368*'Setup &amp; Lists'!$B$8)</x:f>
      </x:c>
      <x:c r="S368" s="115"/>
      <x:c r="T368" s="117"/>
      <x:c r="U368" s="119"/>
    </x:row>
    <x:row r="369">
      <x:c r="A369" s="139"/>
      <x:c r="B369" s="117"/>
      <x:c r="C369" s="117"/>
      <x:c r="D369" s="117"/>
      <x:c r="E369" s="117"/>
      <x:c r="F369" s="117"/>
      <x:c r="G369" s="117"/>
      <x:c r="H369" s="117"/>
      <x:c r="I369" s="117"/>
      <x:c r="J369" s="118"/>
      <x:c r="K369" s="140"/>
      <x:c r="L369" s="137" t="str">
        <x:f>IF(OR(J369="",K369=""),"",(K369-J369)*1440)</x:f>
      </x:c>
      <x:c r="M369" s="149"/>
      <x:c r="N369" s="150"/>
      <x:c r="O369" s="150"/>
      <x:c r="P369" s="150"/>
      <x:c r="Q369" s="151"/>
      <x:c r="R369" s="148" t="str">
        <x:f>IF(OR(Q369="",'Setup &amp; Lists'!$B$8=""),"",Q369*'Setup &amp; Lists'!$B$8)</x:f>
      </x:c>
      <x:c r="S369" s="115"/>
      <x:c r="T369" s="117"/>
      <x:c r="U369" s="119"/>
    </x:row>
    <x:row r="370">
      <x:c r="A370" s="139"/>
      <x:c r="B370" s="117"/>
      <x:c r="C370" s="117"/>
      <x:c r="D370" s="117"/>
      <x:c r="E370" s="117"/>
      <x:c r="F370" s="117"/>
      <x:c r="G370" s="117"/>
      <x:c r="H370" s="117"/>
      <x:c r="I370" s="117"/>
      <x:c r="J370" s="118"/>
      <x:c r="K370" s="140"/>
      <x:c r="L370" s="137" t="str">
        <x:f>IF(OR(J370="",K370=""),"",(K370-J370)*1440)</x:f>
      </x:c>
      <x:c r="M370" s="149"/>
      <x:c r="N370" s="150"/>
      <x:c r="O370" s="150"/>
      <x:c r="P370" s="150"/>
      <x:c r="Q370" s="151"/>
      <x:c r="R370" s="148" t="str">
        <x:f>IF(OR(Q370="",'Setup &amp; Lists'!$B$8=""),"",Q370*'Setup &amp; Lists'!$B$8)</x:f>
      </x:c>
      <x:c r="S370" s="115"/>
      <x:c r="T370" s="117"/>
      <x:c r="U370" s="119"/>
    </x:row>
    <x:row r="371">
      <x:c r="A371" s="139"/>
      <x:c r="B371" s="117"/>
      <x:c r="C371" s="117"/>
      <x:c r="D371" s="117"/>
      <x:c r="E371" s="117"/>
      <x:c r="F371" s="117"/>
      <x:c r="G371" s="117"/>
      <x:c r="H371" s="117"/>
      <x:c r="I371" s="117"/>
      <x:c r="J371" s="118"/>
      <x:c r="K371" s="140"/>
      <x:c r="L371" s="137" t="str">
        <x:f>IF(OR(J371="",K371=""),"",(K371-J371)*1440)</x:f>
      </x:c>
      <x:c r="M371" s="149"/>
      <x:c r="N371" s="150"/>
      <x:c r="O371" s="150"/>
      <x:c r="P371" s="150"/>
      <x:c r="Q371" s="151"/>
      <x:c r="R371" s="148" t="str">
        <x:f>IF(OR(Q371="",'Setup &amp; Lists'!$B$8=""),"",Q371*'Setup &amp; Lists'!$B$8)</x:f>
      </x:c>
      <x:c r="S371" s="115"/>
      <x:c r="T371" s="117"/>
      <x:c r="U371" s="119"/>
    </x:row>
    <x:row r="372">
      <x:c r="A372" s="139"/>
      <x:c r="B372" s="117"/>
      <x:c r="C372" s="117"/>
      <x:c r="D372" s="117"/>
      <x:c r="E372" s="117"/>
      <x:c r="F372" s="117"/>
      <x:c r="G372" s="117"/>
      <x:c r="H372" s="117"/>
      <x:c r="I372" s="117"/>
      <x:c r="J372" s="118"/>
      <x:c r="K372" s="140"/>
      <x:c r="L372" s="137" t="str">
        <x:f>IF(OR(J372="",K372=""),"",(K372-J372)*1440)</x:f>
      </x:c>
      <x:c r="M372" s="149"/>
      <x:c r="N372" s="150"/>
      <x:c r="O372" s="150"/>
      <x:c r="P372" s="150"/>
      <x:c r="Q372" s="151"/>
      <x:c r="R372" s="148" t="str">
        <x:f>IF(OR(Q372="",'Setup &amp; Lists'!$B$8=""),"",Q372*'Setup &amp; Lists'!$B$8)</x:f>
      </x:c>
      <x:c r="S372" s="115"/>
      <x:c r="T372" s="117"/>
      <x:c r="U372" s="119"/>
    </x:row>
    <x:row r="373">
      <x:c r="A373" s="139"/>
      <x:c r="B373" s="117"/>
      <x:c r="C373" s="117"/>
      <x:c r="D373" s="117"/>
      <x:c r="E373" s="117"/>
      <x:c r="F373" s="117"/>
      <x:c r="G373" s="117"/>
      <x:c r="H373" s="117"/>
      <x:c r="I373" s="117"/>
      <x:c r="J373" s="118"/>
      <x:c r="K373" s="140"/>
      <x:c r="L373" s="137" t="str">
        <x:f>IF(OR(J373="",K373=""),"",(K373-J373)*1440)</x:f>
      </x:c>
      <x:c r="M373" s="149"/>
      <x:c r="N373" s="150"/>
      <x:c r="O373" s="150"/>
      <x:c r="P373" s="150"/>
      <x:c r="Q373" s="151"/>
      <x:c r="R373" s="148" t="str">
        <x:f>IF(OR(Q373="",'Setup &amp; Lists'!$B$8=""),"",Q373*'Setup &amp; Lists'!$B$8)</x:f>
      </x:c>
      <x:c r="S373" s="115"/>
      <x:c r="T373" s="117"/>
      <x:c r="U373" s="119"/>
    </x:row>
    <x:row r="374">
      <x:c r="A374" s="139"/>
      <x:c r="B374" s="117"/>
      <x:c r="C374" s="117"/>
      <x:c r="D374" s="117"/>
      <x:c r="E374" s="117"/>
      <x:c r="F374" s="117"/>
      <x:c r="G374" s="117"/>
      <x:c r="H374" s="117"/>
      <x:c r="I374" s="117"/>
      <x:c r="J374" s="118"/>
      <x:c r="K374" s="140"/>
      <x:c r="L374" s="137" t="str">
        <x:f>IF(OR(J374="",K374=""),"",(K374-J374)*1440)</x:f>
      </x:c>
      <x:c r="M374" s="149"/>
      <x:c r="N374" s="150"/>
      <x:c r="O374" s="150"/>
      <x:c r="P374" s="150"/>
      <x:c r="Q374" s="151"/>
      <x:c r="R374" s="148" t="str">
        <x:f>IF(OR(Q374="",'Setup &amp; Lists'!$B$8=""),"",Q374*'Setup &amp; Lists'!$B$8)</x:f>
      </x:c>
      <x:c r="S374" s="115"/>
      <x:c r="T374" s="117"/>
      <x:c r="U374" s="119"/>
    </x:row>
    <x:row r="375">
      <x:c r="A375" s="139"/>
      <x:c r="B375" s="117"/>
      <x:c r="C375" s="117"/>
      <x:c r="D375" s="117"/>
      <x:c r="E375" s="117"/>
      <x:c r="F375" s="117"/>
      <x:c r="G375" s="117"/>
      <x:c r="H375" s="117"/>
      <x:c r="I375" s="117"/>
      <x:c r="J375" s="118"/>
      <x:c r="K375" s="140"/>
      <x:c r="L375" s="137" t="str">
        <x:f>IF(OR(J375="",K375=""),"",(K375-J375)*1440)</x:f>
      </x:c>
      <x:c r="M375" s="149"/>
      <x:c r="N375" s="150"/>
      <x:c r="O375" s="150"/>
      <x:c r="P375" s="150"/>
      <x:c r="Q375" s="151"/>
      <x:c r="R375" s="148" t="str">
        <x:f>IF(OR(Q375="",'Setup &amp; Lists'!$B$8=""),"",Q375*'Setup &amp; Lists'!$B$8)</x:f>
      </x:c>
      <x:c r="S375" s="115"/>
      <x:c r="T375" s="117"/>
      <x:c r="U375" s="119"/>
    </x:row>
    <x:row r="376">
      <x:c r="A376" s="139"/>
      <x:c r="B376" s="117"/>
      <x:c r="C376" s="117"/>
      <x:c r="D376" s="117"/>
      <x:c r="E376" s="117"/>
      <x:c r="F376" s="117"/>
      <x:c r="G376" s="117"/>
      <x:c r="H376" s="117"/>
      <x:c r="I376" s="117"/>
      <x:c r="J376" s="118"/>
      <x:c r="K376" s="140"/>
      <x:c r="L376" s="137" t="str">
        <x:f>IF(OR(J376="",K376=""),"",(K376-J376)*1440)</x:f>
      </x:c>
      <x:c r="M376" s="149"/>
      <x:c r="N376" s="150"/>
      <x:c r="O376" s="150"/>
      <x:c r="P376" s="150"/>
      <x:c r="Q376" s="151"/>
      <x:c r="R376" s="148" t="str">
        <x:f>IF(OR(Q376="",'Setup &amp; Lists'!$B$8=""),"",Q376*'Setup &amp; Lists'!$B$8)</x:f>
      </x:c>
      <x:c r="S376" s="115"/>
      <x:c r="T376" s="117"/>
      <x:c r="U376" s="119"/>
    </x:row>
    <x:row r="377">
      <x:c r="A377" s="139"/>
      <x:c r="B377" s="117"/>
      <x:c r="C377" s="117"/>
      <x:c r="D377" s="117"/>
      <x:c r="E377" s="117"/>
      <x:c r="F377" s="117"/>
      <x:c r="G377" s="117"/>
      <x:c r="H377" s="117"/>
      <x:c r="I377" s="117"/>
      <x:c r="J377" s="118"/>
      <x:c r="K377" s="140"/>
      <x:c r="L377" s="137" t="str">
        <x:f>IF(OR(J377="",K377=""),"",(K377-J377)*1440)</x:f>
      </x:c>
      <x:c r="M377" s="149"/>
      <x:c r="N377" s="150"/>
      <x:c r="O377" s="150"/>
      <x:c r="P377" s="150"/>
      <x:c r="Q377" s="151"/>
      <x:c r="R377" s="148" t="str">
        <x:f>IF(OR(Q377="",'Setup &amp; Lists'!$B$8=""),"",Q377*'Setup &amp; Lists'!$B$8)</x:f>
      </x:c>
      <x:c r="S377" s="115"/>
      <x:c r="T377" s="117"/>
      <x:c r="U377" s="119"/>
    </x:row>
    <x:row r="378">
      <x:c r="A378" s="139"/>
      <x:c r="B378" s="117"/>
      <x:c r="C378" s="117"/>
      <x:c r="D378" s="117"/>
      <x:c r="E378" s="117"/>
      <x:c r="F378" s="117"/>
      <x:c r="G378" s="117"/>
      <x:c r="H378" s="117"/>
      <x:c r="I378" s="117"/>
      <x:c r="J378" s="118"/>
      <x:c r="K378" s="140"/>
      <x:c r="L378" s="137" t="str">
        <x:f>IF(OR(J378="",K378=""),"",(K378-J378)*1440)</x:f>
      </x:c>
      <x:c r="M378" s="149"/>
      <x:c r="N378" s="150"/>
      <x:c r="O378" s="150"/>
      <x:c r="P378" s="150"/>
      <x:c r="Q378" s="151"/>
      <x:c r="R378" s="148" t="str">
        <x:f>IF(OR(Q378="",'Setup &amp; Lists'!$B$8=""),"",Q378*'Setup &amp; Lists'!$B$8)</x:f>
      </x:c>
      <x:c r="S378" s="115"/>
      <x:c r="T378" s="117"/>
      <x:c r="U378" s="119"/>
    </x:row>
    <x:row r="379">
      <x:c r="A379" s="139"/>
      <x:c r="B379" s="117"/>
      <x:c r="C379" s="117"/>
      <x:c r="D379" s="117"/>
      <x:c r="E379" s="117"/>
      <x:c r="F379" s="117"/>
      <x:c r="G379" s="117"/>
      <x:c r="H379" s="117"/>
      <x:c r="I379" s="117"/>
      <x:c r="J379" s="118"/>
      <x:c r="K379" s="140"/>
      <x:c r="L379" s="137" t="str">
        <x:f>IF(OR(J379="",K379=""),"",(K379-J379)*1440)</x:f>
      </x:c>
      <x:c r="M379" s="149"/>
      <x:c r="N379" s="150"/>
      <x:c r="O379" s="150"/>
      <x:c r="P379" s="150"/>
      <x:c r="Q379" s="151"/>
      <x:c r="R379" s="148" t="str">
        <x:f>IF(OR(Q379="",'Setup &amp; Lists'!$B$8=""),"",Q379*'Setup &amp; Lists'!$B$8)</x:f>
      </x:c>
      <x:c r="S379" s="115"/>
      <x:c r="T379" s="117"/>
      <x:c r="U379" s="119"/>
    </x:row>
    <x:row r="380">
      <x:c r="A380" s="139"/>
      <x:c r="B380" s="117"/>
      <x:c r="C380" s="117"/>
      <x:c r="D380" s="117"/>
      <x:c r="E380" s="117"/>
      <x:c r="F380" s="117"/>
      <x:c r="G380" s="117"/>
      <x:c r="H380" s="117"/>
      <x:c r="I380" s="117"/>
      <x:c r="J380" s="118"/>
      <x:c r="K380" s="140"/>
      <x:c r="L380" s="137" t="str">
        <x:f>IF(OR(J380="",K380=""),"",(K380-J380)*1440)</x:f>
      </x:c>
      <x:c r="M380" s="149"/>
      <x:c r="N380" s="150"/>
      <x:c r="O380" s="150"/>
      <x:c r="P380" s="150"/>
      <x:c r="Q380" s="151"/>
      <x:c r="R380" s="148" t="str">
        <x:f>IF(OR(Q380="",'Setup &amp; Lists'!$B$8=""),"",Q380*'Setup &amp; Lists'!$B$8)</x:f>
      </x:c>
      <x:c r="S380" s="115"/>
      <x:c r="T380" s="117"/>
      <x:c r="U380" s="119"/>
    </x:row>
    <x:row r="381">
      <x:c r="A381" s="139"/>
      <x:c r="B381" s="117"/>
      <x:c r="C381" s="117"/>
      <x:c r="D381" s="117"/>
      <x:c r="E381" s="117"/>
      <x:c r="F381" s="117"/>
      <x:c r="G381" s="117"/>
      <x:c r="H381" s="117"/>
      <x:c r="I381" s="117"/>
      <x:c r="J381" s="118"/>
      <x:c r="K381" s="140"/>
      <x:c r="L381" s="137" t="str">
        <x:f>IF(OR(J381="",K381=""),"",(K381-J381)*1440)</x:f>
      </x:c>
      <x:c r="M381" s="149"/>
      <x:c r="N381" s="150"/>
      <x:c r="O381" s="150"/>
      <x:c r="P381" s="150"/>
      <x:c r="Q381" s="151"/>
      <x:c r="R381" s="148" t="str">
        <x:f>IF(OR(Q381="",'Setup &amp; Lists'!$B$8=""),"",Q381*'Setup &amp; Lists'!$B$8)</x:f>
      </x:c>
      <x:c r="S381" s="115"/>
      <x:c r="T381" s="117"/>
      <x:c r="U381" s="119"/>
    </x:row>
    <x:row r="382">
      <x:c r="A382" s="139"/>
      <x:c r="B382" s="117"/>
      <x:c r="C382" s="117"/>
      <x:c r="D382" s="117"/>
      <x:c r="E382" s="117"/>
      <x:c r="F382" s="117"/>
      <x:c r="G382" s="117"/>
      <x:c r="H382" s="117"/>
      <x:c r="I382" s="117"/>
      <x:c r="J382" s="118"/>
      <x:c r="K382" s="140"/>
      <x:c r="L382" s="137" t="str">
        <x:f>IF(OR(J382="",K382=""),"",(K382-J382)*1440)</x:f>
      </x:c>
      <x:c r="M382" s="149"/>
      <x:c r="N382" s="150"/>
      <x:c r="O382" s="150"/>
      <x:c r="P382" s="150"/>
      <x:c r="Q382" s="151"/>
      <x:c r="R382" s="148" t="str">
        <x:f>IF(OR(Q382="",'Setup &amp; Lists'!$B$8=""),"",Q382*'Setup &amp; Lists'!$B$8)</x:f>
      </x:c>
      <x:c r="S382" s="115"/>
      <x:c r="T382" s="117"/>
      <x:c r="U382" s="119"/>
    </x:row>
    <x:row r="383">
      <x:c r="A383" s="139"/>
      <x:c r="B383" s="117"/>
      <x:c r="C383" s="117"/>
      <x:c r="D383" s="117"/>
      <x:c r="E383" s="117"/>
      <x:c r="F383" s="117"/>
      <x:c r="G383" s="117"/>
      <x:c r="H383" s="117"/>
      <x:c r="I383" s="117"/>
      <x:c r="J383" s="118"/>
      <x:c r="K383" s="140"/>
      <x:c r="L383" s="137" t="str">
        <x:f>IF(OR(J383="",K383=""),"",(K383-J383)*1440)</x:f>
      </x:c>
      <x:c r="M383" s="149"/>
      <x:c r="N383" s="150"/>
      <x:c r="O383" s="150"/>
      <x:c r="P383" s="150"/>
      <x:c r="Q383" s="151"/>
      <x:c r="R383" s="148" t="str">
        <x:f>IF(OR(Q383="",'Setup &amp; Lists'!$B$8=""),"",Q383*'Setup &amp; Lists'!$B$8)</x:f>
      </x:c>
      <x:c r="S383" s="115"/>
      <x:c r="T383" s="117"/>
      <x:c r="U383" s="119"/>
    </x:row>
    <x:row r="384">
      <x:c r="A384" s="139"/>
      <x:c r="B384" s="117"/>
      <x:c r="C384" s="117"/>
      <x:c r="D384" s="117"/>
      <x:c r="E384" s="117"/>
      <x:c r="F384" s="117"/>
      <x:c r="G384" s="117"/>
      <x:c r="H384" s="117"/>
      <x:c r="I384" s="117"/>
      <x:c r="J384" s="118"/>
      <x:c r="K384" s="140"/>
      <x:c r="L384" s="137" t="str">
        <x:f>IF(OR(J384="",K384=""),"",(K384-J384)*1440)</x:f>
      </x:c>
      <x:c r="M384" s="149"/>
      <x:c r="N384" s="150"/>
      <x:c r="O384" s="150"/>
      <x:c r="P384" s="150"/>
      <x:c r="Q384" s="151"/>
      <x:c r="R384" s="148" t="str">
        <x:f>IF(OR(Q384="",'Setup &amp; Lists'!$B$8=""),"",Q384*'Setup &amp; Lists'!$B$8)</x:f>
      </x:c>
      <x:c r="S384" s="115"/>
      <x:c r="T384" s="117"/>
      <x:c r="U384" s="119"/>
    </x:row>
    <x:row r="385">
      <x:c r="A385" s="139"/>
      <x:c r="B385" s="117"/>
      <x:c r="C385" s="117"/>
      <x:c r="D385" s="117"/>
      <x:c r="E385" s="117"/>
      <x:c r="F385" s="117"/>
      <x:c r="G385" s="117"/>
      <x:c r="H385" s="117"/>
      <x:c r="I385" s="117"/>
      <x:c r="J385" s="118"/>
      <x:c r="K385" s="140"/>
      <x:c r="L385" s="137" t="str">
        <x:f>IF(OR(J385="",K385=""),"",(K385-J385)*1440)</x:f>
      </x:c>
      <x:c r="M385" s="149"/>
      <x:c r="N385" s="150"/>
      <x:c r="O385" s="150"/>
      <x:c r="P385" s="150"/>
      <x:c r="Q385" s="151"/>
      <x:c r="R385" s="148" t="str">
        <x:f>IF(OR(Q385="",'Setup &amp; Lists'!$B$8=""),"",Q385*'Setup &amp; Lists'!$B$8)</x:f>
      </x:c>
      <x:c r="S385" s="115"/>
      <x:c r="T385" s="117"/>
      <x:c r="U385" s="119"/>
    </x:row>
    <x:row r="386">
      <x:c r="A386" s="139"/>
      <x:c r="B386" s="117"/>
      <x:c r="C386" s="117"/>
      <x:c r="D386" s="117"/>
      <x:c r="E386" s="117"/>
      <x:c r="F386" s="117"/>
      <x:c r="G386" s="117"/>
      <x:c r="H386" s="117"/>
      <x:c r="I386" s="117"/>
      <x:c r="J386" s="118"/>
      <x:c r="K386" s="140"/>
      <x:c r="L386" s="137" t="str">
        <x:f>IF(OR(J386="",K386=""),"",(K386-J386)*1440)</x:f>
      </x:c>
      <x:c r="M386" s="149"/>
      <x:c r="N386" s="150"/>
      <x:c r="O386" s="150"/>
      <x:c r="P386" s="150"/>
      <x:c r="Q386" s="151"/>
      <x:c r="R386" s="148" t="str">
        <x:f>IF(OR(Q386="",'Setup &amp; Lists'!$B$8=""),"",Q386*'Setup &amp; Lists'!$B$8)</x:f>
      </x:c>
      <x:c r="S386" s="115"/>
      <x:c r="T386" s="117"/>
      <x:c r="U386" s="119"/>
    </x:row>
    <x:row r="387">
      <x:c r="A387" s="139"/>
      <x:c r="B387" s="117"/>
      <x:c r="C387" s="117"/>
      <x:c r="D387" s="117"/>
      <x:c r="E387" s="117"/>
      <x:c r="F387" s="117"/>
      <x:c r="G387" s="117"/>
      <x:c r="H387" s="117"/>
      <x:c r="I387" s="117"/>
      <x:c r="J387" s="118"/>
      <x:c r="K387" s="140"/>
      <x:c r="L387" s="137" t="str">
        <x:f>IF(OR(J387="",K387=""),"",(K387-J387)*1440)</x:f>
      </x:c>
      <x:c r="M387" s="149"/>
      <x:c r="N387" s="150"/>
      <x:c r="O387" s="150"/>
      <x:c r="P387" s="150"/>
      <x:c r="Q387" s="151"/>
      <x:c r="R387" s="148" t="str">
        <x:f>IF(OR(Q387="",'Setup &amp; Lists'!$B$8=""),"",Q387*'Setup &amp; Lists'!$B$8)</x:f>
      </x:c>
      <x:c r="S387" s="115"/>
      <x:c r="T387" s="117"/>
      <x:c r="U387" s="119"/>
    </x:row>
    <x:row r="388">
      <x:c r="A388" s="139"/>
      <x:c r="B388" s="117"/>
      <x:c r="C388" s="117"/>
      <x:c r="D388" s="117"/>
      <x:c r="E388" s="117"/>
      <x:c r="F388" s="117"/>
      <x:c r="G388" s="117"/>
      <x:c r="H388" s="117"/>
      <x:c r="I388" s="117"/>
      <x:c r="J388" s="118"/>
      <x:c r="K388" s="140"/>
      <x:c r="L388" s="137" t="str">
        <x:f>IF(OR(J388="",K388=""),"",(K388-J388)*1440)</x:f>
      </x:c>
      <x:c r="M388" s="149"/>
      <x:c r="N388" s="150"/>
      <x:c r="O388" s="150"/>
      <x:c r="P388" s="150"/>
      <x:c r="Q388" s="151"/>
      <x:c r="R388" s="148" t="str">
        <x:f>IF(OR(Q388="",'Setup &amp; Lists'!$B$8=""),"",Q388*'Setup &amp; Lists'!$B$8)</x:f>
      </x:c>
      <x:c r="S388" s="115"/>
      <x:c r="T388" s="117"/>
      <x:c r="U388" s="119"/>
    </x:row>
    <x:row r="389">
      <x:c r="A389" s="139"/>
      <x:c r="B389" s="117"/>
      <x:c r="C389" s="117"/>
      <x:c r="D389" s="117"/>
      <x:c r="E389" s="117"/>
      <x:c r="F389" s="117"/>
      <x:c r="G389" s="117"/>
      <x:c r="H389" s="117"/>
      <x:c r="I389" s="117"/>
      <x:c r="J389" s="118"/>
      <x:c r="K389" s="140"/>
      <x:c r="L389" s="137" t="str">
        <x:f>IF(OR(J389="",K389=""),"",(K389-J389)*1440)</x:f>
      </x:c>
      <x:c r="M389" s="149"/>
      <x:c r="N389" s="150"/>
      <x:c r="O389" s="150"/>
      <x:c r="P389" s="150"/>
      <x:c r="Q389" s="151"/>
      <x:c r="R389" s="148" t="str">
        <x:f>IF(OR(Q389="",'Setup &amp; Lists'!$B$8=""),"",Q389*'Setup &amp; Lists'!$B$8)</x:f>
      </x:c>
      <x:c r="S389" s="115"/>
      <x:c r="T389" s="117"/>
      <x:c r="U389" s="119"/>
    </x:row>
    <x:row r="390">
      <x:c r="A390" s="139"/>
      <x:c r="B390" s="117"/>
      <x:c r="C390" s="117"/>
      <x:c r="D390" s="117"/>
      <x:c r="E390" s="117"/>
      <x:c r="F390" s="117"/>
      <x:c r="G390" s="117"/>
      <x:c r="H390" s="117"/>
      <x:c r="I390" s="117"/>
      <x:c r="J390" s="118"/>
      <x:c r="K390" s="140"/>
      <x:c r="L390" s="137" t="str">
        <x:f>IF(OR(J390="",K390=""),"",(K390-J390)*1440)</x:f>
      </x:c>
      <x:c r="M390" s="149"/>
      <x:c r="N390" s="150"/>
      <x:c r="O390" s="150"/>
      <x:c r="P390" s="150"/>
      <x:c r="Q390" s="151"/>
      <x:c r="R390" s="148" t="str">
        <x:f>IF(OR(Q390="",'Setup &amp; Lists'!$B$8=""),"",Q390*'Setup &amp; Lists'!$B$8)</x:f>
      </x:c>
      <x:c r="S390" s="115"/>
      <x:c r="T390" s="117"/>
      <x:c r="U390" s="119"/>
    </x:row>
    <x:row r="391">
      <x:c r="A391" s="139"/>
      <x:c r="B391" s="117"/>
      <x:c r="C391" s="117"/>
      <x:c r="D391" s="117"/>
      <x:c r="E391" s="117"/>
      <x:c r="F391" s="117"/>
      <x:c r="G391" s="117"/>
      <x:c r="H391" s="117"/>
      <x:c r="I391" s="117"/>
      <x:c r="J391" s="118"/>
      <x:c r="K391" s="140"/>
      <x:c r="L391" s="137" t="str">
        <x:f>IF(OR(J391="",K391=""),"",(K391-J391)*1440)</x:f>
      </x:c>
      <x:c r="M391" s="149"/>
      <x:c r="N391" s="150"/>
      <x:c r="O391" s="150"/>
      <x:c r="P391" s="150"/>
      <x:c r="Q391" s="151"/>
      <x:c r="R391" s="148" t="str">
        <x:f>IF(OR(Q391="",'Setup &amp; Lists'!$B$8=""),"",Q391*'Setup &amp; Lists'!$B$8)</x:f>
      </x:c>
      <x:c r="S391" s="115"/>
      <x:c r="T391" s="117"/>
      <x:c r="U391" s="119"/>
    </x:row>
    <x:row r="392">
      <x:c r="A392" s="139"/>
      <x:c r="B392" s="117"/>
      <x:c r="C392" s="117"/>
      <x:c r="D392" s="117"/>
      <x:c r="E392" s="117"/>
      <x:c r="F392" s="117"/>
      <x:c r="G392" s="117"/>
      <x:c r="H392" s="117"/>
      <x:c r="I392" s="117"/>
      <x:c r="J392" s="118"/>
      <x:c r="K392" s="140"/>
      <x:c r="L392" s="137" t="str">
        <x:f>IF(OR(J392="",K392=""),"",(K392-J392)*1440)</x:f>
      </x:c>
      <x:c r="M392" s="149"/>
      <x:c r="N392" s="150"/>
      <x:c r="O392" s="150"/>
      <x:c r="P392" s="150"/>
      <x:c r="Q392" s="151"/>
      <x:c r="R392" s="148" t="str">
        <x:f>IF(OR(Q392="",'Setup &amp; Lists'!$B$8=""),"",Q392*'Setup &amp; Lists'!$B$8)</x:f>
      </x:c>
      <x:c r="S392" s="115"/>
      <x:c r="T392" s="117"/>
      <x:c r="U392" s="119"/>
    </x:row>
    <x:row r="393">
      <x:c r="A393" s="139"/>
      <x:c r="B393" s="117"/>
      <x:c r="C393" s="117"/>
      <x:c r="D393" s="117"/>
      <x:c r="E393" s="117"/>
      <x:c r="F393" s="117"/>
      <x:c r="G393" s="117"/>
      <x:c r="H393" s="117"/>
      <x:c r="I393" s="117"/>
      <x:c r="J393" s="118"/>
      <x:c r="K393" s="140"/>
      <x:c r="L393" s="137" t="str">
        <x:f>IF(OR(J393="",K393=""),"",(K393-J393)*1440)</x:f>
      </x:c>
      <x:c r="M393" s="149"/>
      <x:c r="N393" s="150"/>
      <x:c r="O393" s="150"/>
      <x:c r="P393" s="150"/>
      <x:c r="Q393" s="151"/>
      <x:c r="R393" s="148" t="str">
        <x:f>IF(OR(Q393="",'Setup &amp; Lists'!$B$8=""),"",Q393*'Setup &amp; Lists'!$B$8)</x:f>
      </x:c>
      <x:c r="S393" s="115"/>
      <x:c r="T393" s="117"/>
      <x:c r="U393" s="119"/>
    </x:row>
    <x:row r="394">
      <x:c r="A394" s="139"/>
      <x:c r="B394" s="117"/>
      <x:c r="C394" s="117"/>
      <x:c r="D394" s="117"/>
      <x:c r="E394" s="117"/>
      <x:c r="F394" s="117"/>
      <x:c r="G394" s="117"/>
      <x:c r="H394" s="117"/>
      <x:c r="I394" s="117"/>
      <x:c r="J394" s="118"/>
      <x:c r="K394" s="140"/>
      <x:c r="L394" s="137" t="str">
        <x:f>IF(OR(J394="",K394=""),"",(K394-J394)*1440)</x:f>
      </x:c>
      <x:c r="M394" s="149"/>
      <x:c r="N394" s="150"/>
      <x:c r="O394" s="150"/>
      <x:c r="P394" s="150"/>
      <x:c r="Q394" s="151"/>
      <x:c r="R394" s="148" t="str">
        <x:f>IF(OR(Q394="",'Setup &amp; Lists'!$B$8=""),"",Q394*'Setup &amp; Lists'!$B$8)</x:f>
      </x:c>
      <x:c r="S394" s="115"/>
      <x:c r="T394" s="117"/>
      <x:c r="U394" s="119"/>
    </x:row>
    <x:row r="395">
      <x:c r="A395" s="139"/>
      <x:c r="B395" s="117"/>
      <x:c r="C395" s="117"/>
      <x:c r="D395" s="117"/>
      <x:c r="E395" s="117"/>
      <x:c r="F395" s="117"/>
      <x:c r="G395" s="117"/>
      <x:c r="H395" s="117"/>
      <x:c r="I395" s="117"/>
      <x:c r="J395" s="118"/>
      <x:c r="K395" s="140"/>
      <x:c r="L395" s="137" t="str">
        <x:f>IF(OR(J395="",K395=""),"",(K395-J395)*1440)</x:f>
      </x:c>
      <x:c r="M395" s="149"/>
      <x:c r="N395" s="150"/>
      <x:c r="O395" s="150"/>
      <x:c r="P395" s="150"/>
      <x:c r="Q395" s="151"/>
      <x:c r="R395" s="148" t="str">
        <x:f>IF(OR(Q395="",'Setup &amp; Lists'!$B$8=""),"",Q395*'Setup &amp; Lists'!$B$8)</x:f>
      </x:c>
      <x:c r="S395" s="115"/>
      <x:c r="T395" s="117"/>
      <x:c r="U395" s="119"/>
    </x:row>
    <x:row r="396">
      <x:c r="A396" s="139"/>
      <x:c r="B396" s="117"/>
      <x:c r="C396" s="117"/>
      <x:c r="D396" s="117"/>
      <x:c r="E396" s="117"/>
      <x:c r="F396" s="117"/>
      <x:c r="G396" s="117"/>
      <x:c r="H396" s="117"/>
      <x:c r="I396" s="117"/>
      <x:c r="J396" s="118"/>
      <x:c r="K396" s="140"/>
      <x:c r="L396" s="137" t="str">
        <x:f>IF(OR(J396="",K396=""),"",(K396-J396)*1440)</x:f>
      </x:c>
      <x:c r="M396" s="149"/>
      <x:c r="N396" s="150"/>
      <x:c r="O396" s="150"/>
      <x:c r="P396" s="150"/>
      <x:c r="Q396" s="151"/>
      <x:c r="R396" s="148" t="str">
        <x:f>IF(OR(Q396="",'Setup &amp; Lists'!$B$8=""),"",Q396*'Setup &amp; Lists'!$B$8)</x:f>
      </x:c>
      <x:c r="S396" s="115"/>
      <x:c r="T396" s="117"/>
      <x:c r="U396" s="119"/>
    </x:row>
    <x:row r="397">
      <x:c r="A397" s="139"/>
      <x:c r="B397" s="117"/>
      <x:c r="C397" s="117"/>
      <x:c r="D397" s="117"/>
      <x:c r="E397" s="117"/>
      <x:c r="F397" s="117"/>
      <x:c r="G397" s="117"/>
      <x:c r="H397" s="117"/>
      <x:c r="I397" s="117"/>
      <x:c r="J397" s="118"/>
      <x:c r="K397" s="140"/>
      <x:c r="L397" s="137" t="str">
        <x:f>IF(OR(J397="",K397=""),"",(K397-J397)*1440)</x:f>
      </x:c>
      <x:c r="M397" s="149"/>
      <x:c r="N397" s="150"/>
      <x:c r="O397" s="150"/>
      <x:c r="P397" s="150"/>
      <x:c r="Q397" s="151"/>
      <x:c r="R397" s="148" t="str">
        <x:f>IF(OR(Q397="",'Setup &amp; Lists'!$B$8=""),"",Q397*'Setup &amp; Lists'!$B$8)</x:f>
      </x:c>
      <x:c r="S397" s="115"/>
      <x:c r="T397" s="117"/>
      <x:c r="U397" s="119"/>
    </x:row>
    <x:row r="398">
      <x:c r="A398" s="139"/>
      <x:c r="B398" s="117"/>
      <x:c r="C398" s="117"/>
      <x:c r="D398" s="117"/>
      <x:c r="E398" s="117"/>
      <x:c r="F398" s="117"/>
      <x:c r="G398" s="117"/>
      <x:c r="H398" s="117"/>
      <x:c r="I398" s="117"/>
      <x:c r="J398" s="118"/>
      <x:c r="K398" s="140"/>
      <x:c r="L398" s="137" t="str">
        <x:f>IF(OR(J398="",K398=""),"",(K398-J398)*1440)</x:f>
      </x:c>
      <x:c r="M398" s="149"/>
      <x:c r="N398" s="150"/>
      <x:c r="O398" s="150"/>
      <x:c r="P398" s="150"/>
      <x:c r="Q398" s="151"/>
      <x:c r="R398" s="148" t="str">
        <x:f>IF(OR(Q398="",'Setup &amp; Lists'!$B$8=""),"",Q398*'Setup &amp; Lists'!$B$8)</x:f>
      </x:c>
      <x:c r="S398" s="115"/>
      <x:c r="T398" s="117"/>
      <x:c r="U398" s="119"/>
    </x:row>
    <x:row r="399">
      <x:c r="A399" s="139"/>
      <x:c r="B399" s="117"/>
      <x:c r="C399" s="117"/>
      <x:c r="D399" s="117"/>
      <x:c r="E399" s="117"/>
      <x:c r="F399" s="117"/>
      <x:c r="G399" s="117"/>
      <x:c r="H399" s="117"/>
      <x:c r="I399" s="117"/>
      <x:c r="J399" s="118"/>
      <x:c r="K399" s="140"/>
      <x:c r="L399" s="137" t="str">
        <x:f>IF(OR(J399="",K399=""),"",(K399-J399)*1440)</x:f>
      </x:c>
      <x:c r="M399" s="149"/>
      <x:c r="N399" s="150"/>
      <x:c r="O399" s="150"/>
      <x:c r="P399" s="150"/>
      <x:c r="Q399" s="151"/>
      <x:c r="R399" s="148" t="str">
        <x:f>IF(OR(Q399="",'Setup &amp; Lists'!$B$8=""),"",Q399*'Setup &amp; Lists'!$B$8)</x:f>
      </x:c>
      <x:c r="S399" s="115"/>
      <x:c r="T399" s="117"/>
      <x:c r="U399" s="119"/>
    </x:row>
    <x:row r="400">
      <x:c r="A400" s="139"/>
      <x:c r="B400" s="117"/>
      <x:c r="C400" s="117"/>
      <x:c r="D400" s="117"/>
      <x:c r="E400" s="117"/>
      <x:c r="F400" s="117"/>
      <x:c r="G400" s="117"/>
      <x:c r="H400" s="117"/>
      <x:c r="I400" s="117"/>
      <x:c r="J400" s="118"/>
      <x:c r="K400" s="140"/>
      <x:c r="L400" s="137" t="str">
        <x:f>IF(OR(J400="",K400=""),"",(K400-J400)*1440)</x:f>
      </x:c>
      <x:c r="M400" s="149"/>
      <x:c r="N400" s="150"/>
      <x:c r="O400" s="150"/>
      <x:c r="P400" s="150"/>
      <x:c r="Q400" s="151"/>
      <x:c r="R400" s="148" t="str">
        <x:f>IF(OR(Q400="",'Setup &amp; Lists'!$B$8=""),"",Q400*'Setup &amp; Lists'!$B$8)</x:f>
      </x:c>
      <x:c r="S400" s="115"/>
      <x:c r="T400" s="117"/>
      <x:c r="U400" s="119"/>
    </x:row>
    <x:row r="401">
      <x:c r="A401" s="139"/>
      <x:c r="B401" s="117"/>
      <x:c r="C401" s="117"/>
      <x:c r="D401" s="117"/>
      <x:c r="E401" s="117"/>
      <x:c r="F401" s="117"/>
      <x:c r="G401" s="117"/>
      <x:c r="H401" s="117"/>
      <x:c r="I401" s="117"/>
      <x:c r="J401" s="118"/>
      <x:c r="K401" s="140"/>
      <x:c r="L401" s="137" t="str">
        <x:f>IF(OR(J401="",K401=""),"",(K401-J401)*1440)</x:f>
      </x:c>
      <x:c r="M401" s="149"/>
      <x:c r="N401" s="150"/>
      <x:c r="O401" s="150"/>
      <x:c r="P401" s="150"/>
      <x:c r="Q401" s="151"/>
      <x:c r="R401" s="148" t="str">
        <x:f>IF(OR(Q401="",'Setup &amp; Lists'!$B$8=""),"",Q401*'Setup &amp; Lists'!$B$8)</x:f>
      </x:c>
      <x:c r="S401" s="115"/>
      <x:c r="T401" s="117"/>
      <x:c r="U401" s="119"/>
    </x:row>
    <x:row r="402">
      <x:c r="A402" s="139"/>
      <x:c r="B402" s="117"/>
      <x:c r="C402" s="117"/>
      <x:c r="D402" s="117"/>
      <x:c r="E402" s="117"/>
      <x:c r="F402" s="117"/>
      <x:c r="G402" s="117"/>
      <x:c r="H402" s="117"/>
      <x:c r="I402" s="117"/>
      <x:c r="J402" s="118"/>
      <x:c r="K402" s="140"/>
      <x:c r="L402" s="137" t="str">
        <x:f>IF(OR(J402="",K402=""),"",(K402-J402)*1440)</x:f>
      </x:c>
      <x:c r="M402" s="149"/>
      <x:c r="N402" s="150"/>
      <x:c r="O402" s="150"/>
      <x:c r="P402" s="150"/>
      <x:c r="Q402" s="151"/>
      <x:c r="R402" s="148" t="str">
        <x:f>IF(OR(Q402="",'Setup &amp; Lists'!$B$8=""),"",Q402*'Setup &amp; Lists'!$B$8)</x:f>
      </x:c>
      <x:c r="S402" s="115"/>
      <x:c r="T402" s="117"/>
      <x:c r="U402" s="119"/>
    </x:row>
    <x:row r="403">
      <x:c r="A403" s="139"/>
      <x:c r="B403" s="117"/>
      <x:c r="C403" s="117"/>
      <x:c r="D403" s="117"/>
      <x:c r="E403" s="117"/>
      <x:c r="F403" s="117"/>
      <x:c r="G403" s="117"/>
      <x:c r="H403" s="117"/>
      <x:c r="I403" s="117"/>
      <x:c r="J403" s="118"/>
      <x:c r="K403" s="140"/>
      <x:c r="L403" s="137" t="str">
        <x:f>IF(OR(J403="",K403=""),"",(K403-J403)*1440)</x:f>
      </x:c>
      <x:c r="M403" s="149"/>
      <x:c r="N403" s="150"/>
      <x:c r="O403" s="150"/>
      <x:c r="P403" s="150"/>
      <x:c r="Q403" s="151"/>
      <x:c r="R403" s="148" t="str">
        <x:f>IF(OR(Q403="",'Setup &amp; Lists'!$B$8=""),"",Q403*'Setup &amp; Lists'!$B$8)</x:f>
      </x:c>
      <x:c r="S403" s="115"/>
      <x:c r="T403" s="117"/>
      <x:c r="U403" s="119"/>
    </x:row>
    <x:row r="404">
      <x:c r="A404" s="139"/>
      <x:c r="B404" s="117"/>
      <x:c r="C404" s="117"/>
      <x:c r="D404" s="117"/>
      <x:c r="E404" s="117"/>
      <x:c r="F404" s="117"/>
      <x:c r="G404" s="117"/>
      <x:c r="H404" s="117"/>
      <x:c r="I404" s="117"/>
      <x:c r="J404" s="118"/>
      <x:c r="K404" s="140"/>
      <x:c r="L404" s="137" t="str">
        <x:f>IF(OR(J404="",K404=""),"",(K404-J404)*1440)</x:f>
      </x:c>
      <x:c r="M404" s="149"/>
      <x:c r="N404" s="150"/>
      <x:c r="O404" s="150"/>
      <x:c r="P404" s="150"/>
      <x:c r="Q404" s="151"/>
      <x:c r="R404" s="148" t="str">
        <x:f>IF(OR(Q404="",'Setup &amp; Lists'!$B$8=""),"",Q404*'Setup &amp; Lists'!$B$8)</x:f>
      </x:c>
      <x:c r="S404" s="115"/>
      <x:c r="T404" s="117"/>
      <x:c r="U404" s="119"/>
    </x:row>
    <x:row r="405">
      <x:c r="A405" s="139"/>
      <x:c r="B405" s="117"/>
      <x:c r="C405" s="117"/>
      <x:c r="D405" s="117"/>
      <x:c r="E405" s="117"/>
      <x:c r="F405" s="117"/>
      <x:c r="G405" s="117"/>
      <x:c r="H405" s="117"/>
      <x:c r="I405" s="117"/>
      <x:c r="J405" s="118"/>
      <x:c r="K405" s="140"/>
      <x:c r="L405" s="137" t="str">
        <x:f>IF(OR(J405="",K405=""),"",(K405-J405)*1440)</x:f>
      </x:c>
      <x:c r="M405" s="149"/>
      <x:c r="N405" s="150"/>
      <x:c r="O405" s="150"/>
      <x:c r="P405" s="150"/>
      <x:c r="Q405" s="151"/>
      <x:c r="R405" s="148" t="str">
        <x:f>IF(OR(Q405="",'Setup &amp; Lists'!$B$8=""),"",Q405*'Setup &amp; Lists'!$B$8)</x:f>
      </x:c>
      <x:c r="S405" s="115"/>
      <x:c r="T405" s="117"/>
      <x:c r="U405" s="119"/>
    </x:row>
    <x:row r="406">
      <x:c r="A406" s="139"/>
      <x:c r="B406" s="117"/>
      <x:c r="C406" s="117"/>
      <x:c r="D406" s="117"/>
      <x:c r="E406" s="117"/>
      <x:c r="F406" s="117"/>
      <x:c r="G406" s="117"/>
      <x:c r="H406" s="117"/>
      <x:c r="I406" s="117"/>
      <x:c r="J406" s="118"/>
      <x:c r="K406" s="140"/>
      <x:c r="L406" s="137" t="str">
        <x:f>IF(OR(J406="",K406=""),"",(K406-J406)*1440)</x:f>
      </x:c>
      <x:c r="M406" s="149"/>
      <x:c r="N406" s="150"/>
      <x:c r="O406" s="150"/>
      <x:c r="P406" s="150"/>
      <x:c r="Q406" s="151"/>
      <x:c r="R406" s="148" t="str">
        <x:f>IF(OR(Q406="",'Setup &amp; Lists'!$B$8=""),"",Q406*'Setup &amp; Lists'!$B$8)</x:f>
      </x:c>
      <x:c r="S406" s="115"/>
      <x:c r="T406" s="117"/>
      <x:c r="U406" s="119"/>
    </x:row>
    <x:row r="407">
      <x:c r="A407" s="139"/>
      <x:c r="B407" s="117"/>
      <x:c r="C407" s="117"/>
      <x:c r="D407" s="117"/>
      <x:c r="E407" s="117"/>
      <x:c r="F407" s="117"/>
      <x:c r="G407" s="117"/>
      <x:c r="H407" s="117"/>
      <x:c r="I407" s="117"/>
      <x:c r="J407" s="118"/>
      <x:c r="K407" s="140"/>
      <x:c r="L407" s="137" t="str">
        <x:f>IF(OR(J407="",K407=""),"",(K407-J407)*1440)</x:f>
      </x:c>
      <x:c r="M407" s="149"/>
      <x:c r="N407" s="150"/>
      <x:c r="O407" s="150"/>
      <x:c r="P407" s="150"/>
      <x:c r="Q407" s="151"/>
      <x:c r="R407" s="148" t="str">
        <x:f>IF(OR(Q407="",'Setup &amp; Lists'!$B$8=""),"",Q407*'Setup &amp; Lists'!$B$8)</x:f>
      </x:c>
      <x:c r="S407" s="115"/>
      <x:c r="T407" s="117"/>
      <x:c r="U407" s="119"/>
    </x:row>
    <x:row r="408">
      <x:c r="A408" s="139"/>
      <x:c r="B408" s="117"/>
      <x:c r="C408" s="117"/>
      <x:c r="D408" s="117"/>
      <x:c r="E408" s="117"/>
      <x:c r="F408" s="117"/>
      <x:c r="G408" s="117"/>
      <x:c r="H408" s="117"/>
      <x:c r="I408" s="117"/>
      <x:c r="J408" s="118"/>
      <x:c r="K408" s="140"/>
      <x:c r="L408" s="137" t="str">
        <x:f>IF(OR(J408="",K408=""),"",(K408-J408)*1440)</x:f>
      </x:c>
      <x:c r="M408" s="149"/>
      <x:c r="N408" s="150"/>
      <x:c r="O408" s="150"/>
      <x:c r="P408" s="150"/>
      <x:c r="Q408" s="151"/>
      <x:c r="R408" s="148" t="str">
        <x:f>IF(OR(Q408="",'Setup &amp; Lists'!$B$8=""),"",Q408*'Setup &amp; Lists'!$B$8)</x:f>
      </x:c>
      <x:c r="S408" s="115"/>
      <x:c r="T408" s="117"/>
      <x:c r="U408" s="119"/>
    </x:row>
    <x:row r="409">
      <x:c r="A409" s="139"/>
      <x:c r="B409" s="117"/>
      <x:c r="C409" s="117"/>
      <x:c r="D409" s="117"/>
      <x:c r="E409" s="117"/>
      <x:c r="F409" s="117"/>
      <x:c r="G409" s="117"/>
      <x:c r="H409" s="117"/>
      <x:c r="I409" s="117"/>
      <x:c r="J409" s="118"/>
      <x:c r="K409" s="140"/>
      <x:c r="L409" s="137" t="str">
        <x:f>IF(OR(J409="",K409=""),"",(K409-J409)*1440)</x:f>
      </x:c>
      <x:c r="M409" s="149"/>
      <x:c r="N409" s="150"/>
      <x:c r="O409" s="150"/>
      <x:c r="P409" s="150"/>
      <x:c r="Q409" s="151"/>
      <x:c r="R409" s="148" t="str">
        <x:f>IF(OR(Q409="",'Setup &amp; Lists'!$B$8=""),"",Q409*'Setup &amp; Lists'!$B$8)</x:f>
      </x:c>
      <x:c r="S409" s="115"/>
      <x:c r="T409" s="117"/>
      <x:c r="U409" s="119"/>
    </x:row>
    <x:row r="410">
      <x:c r="A410" s="139"/>
      <x:c r="B410" s="117"/>
      <x:c r="C410" s="117"/>
      <x:c r="D410" s="117"/>
      <x:c r="E410" s="117"/>
      <x:c r="F410" s="117"/>
      <x:c r="G410" s="117"/>
      <x:c r="H410" s="117"/>
      <x:c r="I410" s="117"/>
      <x:c r="J410" s="118"/>
      <x:c r="K410" s="140"/>
      <x:c r="L410" s="137" t="str">
        <x:f>IF(OR(J410="",K410=""),"",(K410-J410)*1440)</x:f>
      </x:c>
      <x:c r="M410" s="149"/>
      <x:c r="N410" s="150"/>
      <x:c r="O410" s="150"/>
      <x:c r="P410" s="150"/>
      <x:c r="Q410" s="151"/>
      <x:c r="R410" s="148" t="str">
        <x:f>IF(OR(Q410="",'Setup &amp; Lists'!$B$8=""),"",Q410*'Setup &amp; Lists'!$B$8)</x:f>
      </x:c>
      <x:c r="S410" s="115"/>
      <x:c r="T410" s="117"/>
      <x:c r="U410" s="119"/>
    </x:row>
    <x:row r="411">
      <x:c r="A411" s="139"/>
      <x:c r="B411" s="117"/>
      <x:c r="C411" s="117"/>
      <x:c r="D411" s="117"/>
      <x:c r="E411" s="117"/>
      <x:c r="F411" s="117"/>
      <x:c r="G411" s="117"/>
      <x:c r="H411" s="117"/>
      <x:c r="I411" s="117"/>
      <x:c r="J411" s="118"/>
      <x:c r="K411" s="140"/>
      <x:c r="L411" s="137" t="str">
        <x:f>IF(OR(J411="",K411=""),"",(K411-J411)*1440)</x:f>
      </x:c>
      <x:c r="M411" s="149"/>
      <x:c r="N411" s="150"/>
      <x:c r="O411" s="150"/>
      <x:c r="P411" s="150"/>
      <x:c r="Q411" s="151"/>
      <x:c r="R411" s="148" t="str">
        <x:f>IF(OR(Q411="",'Setup &amp; Lists'!$B$8=""),"",Q411*'Setup &amp; Lists'!$B$8)</x:f>
      </x:c>
      <x:c r="S411" s="115"/>
      <x:c r="T411" s="117"/>
      <x:c r="U411" s="119"/>
    </x:row>
    <x:row r="412">
      <x:c r="A412" s="139"/>
      <x:c r="B412" s="117"/>
      <x:c r="C412" s="117"/>
      <x:c r="D412" s="117"/>
      <x:c r="E412" s="117"/>
      <x:c r="F412" s="117"/>
      <x:c r="G412" s="117"/>
      <x:c r="H412" s="117"/>
      <x:c r="I412" s="117"/>
      <x:c r="J412" s="118"/>
      <x:c r="K412" s="140"/>
      <x:c r="L412" s="137" t="str">
        <x:f>IF(OR(J412="",K412=""),"",(K412-J412)*1440)</x:f>
      </x:c>
      <x:c r="M412" s="149"/>
      <x:c r="N412" s="150"/>
      <x:c r="O412" s="150"/>
      <x:c r="P412" s="150"/>
      <x:c r="Q412" s="151"/>
      <x:c r="R412" s="148" t="str">
        <x:f>IF(OR(Q412="",'Setup &amp; Lists'!$B$8=""),"",Q412*'Setup &amp; Lists'!$B$8)</x:f>
      </x:c>
      <x:c r="S412" s="115"/>
      <x:c r="T412" s="117"/>
      <x:c r="U412" s="119"/>
    </x:row>
    <x:row r="413">
      <x:c r="A413" s="139"/>
      <x:c r="B413" s="117"/>
      <x:c r="C413" s="117"/>
      <x:c r="D413" s="117"/>
      <x:c r="E413" s="117"/>
      <x:c r="F413" s="117"/>
      <x:c r="G413" s="117"/>
      <x:c r="H413" s="117"/>
      <x:c r="I413" s="117"/>
      <x:c r="J413" s="118"/>
      <x:c r="K413" s="140"/>
      <x:c r="L413" s="137" t="str">
        <x:f>IF(OR(J413="",K413=""),"",(K413-J413)*1440)</x:f>
      </x:c>
      <x:c r="M413" s="149"/>
      <x:c r="N413" s="150"/>
      <x:c r="O413" s="150"/>
      <x:c r="P413" s="150"/>
      <x:c r="Q413" s="151"/>
      <x:c r="R413" s="148" t="str">
        <x:f>IF(OR(Q413="",'Setup &amp; Lists'!$B$8=""),"",Q413*'Setup &amp; Lists'!$B$8)</x:f>
      </x:c>
      <x:c r="S413" s="115"/>
      <x:c r="T413" s="117"/>
      <x:c r="U413" s="119"/>
    </x:row>
    <x:row r="414">
      <x:c r="A414" s="139"/>
      <x:c r="B414" s="117"/>
      <x:c r="C414" s="117"/>
      <x:c r="D414" s="117"/>
      <x:c r="E414" s="117"/>
      <x:c r="F414" s="117"/>
      <x:c r="G414" s="117"/>
      <x:c r="H414" s="117"/>
      <x:c r="I414" s="117"/>
      <x:c r="J414" s="118"/>
      <x:c r="K414" s="140"/>
      <x:c r="L414" s="137" t="str">
        <x:f>IF(OR(J414="",K414=""),"",(K414-J414)*1440)</x:f>
      </x:c>
      <x:c r="M414" s="149"/>
      <x:c r="N414" s="150"/>
      <x:c r="O414" s="150"/>
      <x:c r="P414" s="150"/>
      <x:c r="Q414" s="151"/>
      <x:c r="R414" s="148" t="str">
        <x:f>IF(OR(Q414="",'Setup &amp; Lists'!$B$8=""),"",Q414*'Setup &amp; Lists'!$B$8)</x:f>
      </x:c>
      <x:c r="S414" s="115"/>
      <x:c r="T414" s="117"/>
      <x:c r="U414" s="119"/>
    </x:row>
    <x:row r="415">
      <x:c r="A415" s="139"/>
      <x:c r="B415" s="117"/>
      <x:c r="C415" s="117"/>
      <x:c r="D415" s="117"/>
      <x:c r="E415" s="117"/>
      <x:c r="F415" s="117"/>
      <x:c r="G415" s="117"/>
      <x:c r="H415" s="117"/>
      <x:c r="I415" s="117"/>
      <x:c r="J415" s="118"/>
      <x:c r="K415" s="140"/>
      <x:c r="L415" s="137" t="str">
        <x:f>IF(OR(J415="",K415=""),"",(K415-J415)*1440)</x:f>
      </x:c>
      <x:c r="M415" s="149"/>
      <x:c r="N415" s="150"/>
      <x:c r="O415" s="150"/>
      <x:c r="P415" s="150"/>
      <x:c r="Q415" s="151"/>
      <x:c r="R415" s="148" t="str">
        <x:f>IF(OR(Q415="",'Setup &amp; Lists'!$B$8=""),"",Q415*'Setup &amp; Lists'!$B$8)</x:f>
      </x:c>
      <x:c r="S415" s="115"/>
      <x:c r="T415" s="117"/>
      <x:c r="U415" s="119"/>
    </x:row>
    <x:row r="416">
      <x:c r="A416" s="139"/>
      <x:c r="B416" s="117"/>
      <x:c r="C416" s="117"/>
      <x:c r="D416" s="117"/>
      <x:c r="E416" s="117"/>
      <x:c r="F416" s="117"/>
      <x:c r="G416" s="117"/>
      <x:c r="H416" s="117"/>
      <x:c r="I416" s="117"/>
      <x:c r="J416" s="118"/>
      <x:c r="K416" s="140"/>
      <x:c r="L416" s="137" t="str">
        <x:f>IF(OR(J416="",K416=""),"",(K416-J416)*1440)</x:f>
      </x:c>
      <x:c r="M416" s="149"/>
      <x:c r="N416" s="150"/>
      <x:c r="O416" s="150"/>
      <x:c r="P416" s="150"/>
      <x:c r="Q416" s="151"/>
      <x:c r="R416" s="148" t="str">
        <x:f>IF(OR(Q416="",'Setup &amp; Lists'!$B$8=""),"",Q416*'Setup &amp; Lists'!$B$8)</x:f>
      </x:c>
      <x:c r="S416" s="115"/>
      <x:c r="T416" s="117"/>
      <x:c r="U416" s="119"/>
    </x:row>
    <x:row r="417">
      <x:c r="A417" s="139"/>
      <x:c r="B417" s="117"/>
      <x:c r="C417" s="117"/>
      <x:c r="D417" s="117"/>
      <x:c r="E417" s="117"/>
      <x:c r="F417" s="117"/>
      <x:c r="G417" s="117"/>
      <x:c r="H417" s="117"/>
      <x:c r="I417" s="117"/>
      <x:c r="J417" s="118"/>
      <x:c r="K417" s="140"/>
      <x:c r="L417" s="137" t="str">
        <x:f>IF(OR(J417="",K417=""),"",(K417-J417)*1440)</x:f>
      </x:c>
      <x:c r="M417" s="149"/>
      <x:c r="N417" s="150"/>
      <x:c r="O417" s="150"/>
      <x:c r="P417" s="150"/>
      <x:c r="Q417" s="151"/>
      <x:c r="R417" s="148" t="str">
        <x:f>IF(OR(Q417="",'Setup &amp; Lists'!$B$8=""),"",Q417*'Setup &amp; Lists'!$B$8)</x:f>
      </x:c>
      <x:c r="S417" s="115"/>
      <x:c r="T417" s="117"/>
      <x:c r="U417" s="119"/>
    </x:row>
    <x:row r="418">
      <x:c r="A418" s="139"/>
      <x:c r="B418" s="117"/>
      <x:c r="C418" s="117"/>
      <x:c r="D418" s="117"/>
      <x:c r="E418" s="117"/>
      <x:c r="F418" s="117"/>
      <x:c r="G418" s="117"/>
      <x:c r="H418" s="117"/>
      <x:c r="I418" s="117"/>
      <x:c r="J418" s="118"/>
      <x:c r="K418" s="140"/>
      <x:c r="L418" s="137" t="str">
        <x:f>IF(OR(J418="",K418=""),"",(K418-J418)*1440)</x:f>
      </x:c>
      <x:c r="M418" s="149"/>
      <x:c r="N418" s="150"/>
      <x:c r="O418" s="150"/>
      <x:c r="P418" s="150"/>
      <x:c r="Q418" s="151"/>
      <x:c r="R418" s="148" t="str">
        <x:f>IF(OR(Q418="",'Setup &amp; Lists'!$B$8=""),"",Q418*'Setup &amp; Lists'!$B$8)</x:f>
      </x:c>
      <x:c r="S418" s="115"/>
      <x:c r="T418" s="117"/>
      <x:c r="U418" s="119"/>
    </x:row>
    <x:row r="419">
      <x:c r="A419" s="139"/>
      <x:c r="B419" s="117"/>
      <x:c r="C419" s="117"/>
      <x:c r="D419" s="117"/>
      <x:c r="E419" s="117"/>
      <x:c r="F419" s="117"/>
      <x:c r="G419" s="117"/>
      <x:c r="H419" s="117"/>
      <x:c r="I419" s="117"/>
      <x:c r="J419" s="118"/>
      <x:c r="K419" s="140"/>
      <x:c r="L419" s="137" t="str">
        <x:f>IF(OR(J419="",K419=""),"",(K419-J419)*1440)</x:f>
      </x:c>
      <x:c r="M419" s="149"/>
      <x:c r="N419" s="150"/>
      <x:c r="O419" s="150"/>
      <x:c r="P419" s="150"/>
      <x:c r="Q419" s="151"/>
      <x:c r="R419" s="148" t="str">
        <x:f>IF(OR(Q419="",'Setup &amp; Lists'!$B$8=""),"",Q419*'Setup &amp; Lists'!$B$8)</x:f>
      </x:c>
      <x:c r="S419" s="115"/>
      <x:c r="T419" s="117"/>
      <x:c r="U419" s="119"/>
    </x:row>
    <x:row r="420">
      <x:c r="A420" s="139"/>
      <x:c r="B420" s="117"/>
      <x:c r="C420" s="117"/>
      <x:c r="D420" s="117"/>
      <x:c r="E420" s="117"/>
      <x:c r="F420" s="117"/>
      <x:c r="G420" s="117"/>
      <x:c r="H420" s="117"/>
      <x:c r="I420" s="117"/>
      <x:c r="J420" s="118"/>
      <x:c r="K420" s="140"/>
      <x:c r="L420" s="137" t="str">
        <x:f>IF(OR(J420="",K420=""),"",(K420-J420)*1440)</x:f>
      </x:c>
      <x:c r="M420" s="149"/>
      <x:c r="N420" s="150"/>
      <x:c r="O420" s="150"/>
      <x:c r="P420" s="150"/>
      <x:c r="Q420" s="151"/>
      <x:c r="R420" s="148" t="str">
        <x:f>IF(OR(Q420="",'Setup &amp; Lists'!$B$8=""),"",Q420*'Setup &amp; Lists'!$B$8)</x:f>
      </x:c>
      <x:c r="S420" s="115"/>
      <x:c r="T420" s="117"/>
      <x:c r="U420" s="119"/>
    </x:row>
    <x:row r="421">
      <x:c r="A421" s="139"/>
      <x:c r="B421" s="117"/>
      <x:c r="C421" s="117"/>
      <x:c r="D421" s="117"/>
      <x:c r="E421" s="117"/>
      <x:c r="F421" s="117"/>
      <x:c r="G421" s="117"/>
      <x:c r="H421" s="117"/>
      <x:c r="I421" s="117"/>
      <x:c r="J421" s="118"/>
      <x:c r="K421" s="140"/>
      <x:c r="L421" s="137" t="str">
        <x:f>IF(OR(J421="",K421=""),"",(K421-J421)*1440)</x:f>
      </x:c>
      <x:c r="M421" s="149"/>
      <x:c r="N421" s="150"/>
      <x:c r="O421" s="150"/>
      <x:c r="P421" s="150"/>
      <x:c r="Q421" s="151"/>
      <x:c r="R421" s="148" t="str">
        <x:f>IF(OR(Q421="",'Setup &amp; Lists'!$B$8=""),"",Q421*'Setup &amp; Lists'!$B$8)</x:f>
      </x:c>
      <x:c r="S421" s="115"/>
      <x:c r="T421" s="117"/>
      <x:c r="U421" s="119"/>
    </x:row>
    <x:row r="422">
      <x:c r="A422" s="139"/>
      <x:c r="B422" s="117"/>
      <x:c r="C422" s="117"/>
      <x:c r="D422" s="117"/>
      <x:c r="E422" s="117"/>
      <x:c r="F422" s="117"/>
      <x:c r="G422" s="117"/>
      <x:c r="H422" s="117"/>
      <x:c r="I422" s="117"/>
      <x:c r="J422" s="118"/>
      <x:c r="K422" s="140"/>
      <x:c r="L422" s="137" t="str">
        <x:f>IF(OR(J422="",K422=""),"",(K422-J422)*1440)</x:f>
      </x:c>
      <x:c r="M422" s="149"/>
      <x:c r="N422" s="150"/>
      <x:c r="O422" s="150"/>
      <x:c r="P422" s="150"/>
      <x:c r="Q422" s="151"/>
      <x:c r="R422" s="148" t="str">
        <x:f>IF(OR(Q422="",'Setup &amp; Lists'!$B$8=""),"",Q422*'Setup &amp; Lists'!$B$8)</x:f>
      </x:c>
      <x:c r="S422" s="115"/>
      <x:c r="T422" s="117"/>
      <x:c r="U422" s="119"/>
    </x:row>
    <x:row r="423">
      <x:c r="A423" s="139"/>
      <x:c r="B423" s="117"/>
      <x:c r="C423" s="117"/>
      <x:c r="D423" s="117"/>
      <x:c r="E423" s="117"/>
      <x:c r="F423" s="117"/>
      <x:c r="G423" s="117"/>
      <x:c r="H423" s="117"/>
      <x:c r="I423" s="117"/>
      <x:c r="J423" s="118"/>
      <x:c r="K423" s="140"/>
      <x:c r="L423" s="137" t="str">
        <x:f>IF(OR(J423="",K423=""),"",(K423-J423)*1440)</x:f>
      </x:c>
      <x:c r="M423" s="149"/>
      <x:c r="N423" s="150"/>
      <x:c r="O423" s="150"/>
      <x:c r="P423" s="150"/>
      <x:c r="Q423" s="151"/>
      <x:c r="R423" s="148" t="str">
        <x:f>IF(OR(Q423="",'Setup &amp; Lists'!$B$8=""),"",Q423*'Setup &amp; Lists'!$B$8)</x:f>
      </x:c>
      <x:c r="S423" s="115"/>
      <x:c r="T423" s="117"/>
      <x:c r="U423" s="119"/>
    </x:row>
    <x:row r="424">
      <x:c r="A424" s="139"/>
      <x:c r="B424" s="117"/>
      <x:c r="C424" s="117"/>
      <x:c r="D424" s="117"/>
      <x:c r="E424" s="117"/>
      <x:c r="F424" s="117"/>
      <x:c r="G424" s="117"/>
      <x:c r="H424" s="117"/>
      <x:c r="I424" s="117"/>
      <x:c r="J424" s="118"/>
      <x:c r="K424" s="140"/>
      <x:c r="L424" s="137" t="str">
        <x:f>IF(OR(J424="",K424=""),"",(K424-J424)*1440)</x:f>
      </x:c>
      <x:c r="M424" s="149"/>
      <x:c r="N424" s="150"/>
      <x:c r="O424" s="150"/>
      <x:c r="P424" s="150"/>
      <x:c r="Q424" s="151"/>
      <x:c r="R424" s="148" t="str">
        <x:f>IF(OR(Q424="",'Setup &amp; Lists'!$B$8=""),"",Q424*'Setup &amp; Lists'!$B$8)</x:f>
      </x:c>
      <x:c r="S424" s="115"/>
      <x:c r="T424" s="117"/>
      <x:c r="U424" s="119"/>
    </x:row>
    <x:row r="425">
      <x:c r="A425" s="139"/>
      <x:c r="B425" s="117"/>
      <x:c r="C425" s="117"/>
      <x:c r="D425" s="117"/>
      <x:c r="E425" s="117"/>
      <x:c r="F425" s="117"/>
      <x:c r="G425" s="117"/>
      <x:c r="H425" s="117"/>
      <x:c r="I425" s="117"/>
      <x:c r="J425" s="118"/>
      <x:c r="K425" s="140"/>
      <x:c r="L425" s="137" t="str">
        <x:f>IF(OR(J425="",K425=""),"",(K425-J425)*1440)</x:f>
      </x:c>
      <x:c r="M425" s="149"/>
      <x:c r="N425" s="150"/>
      <x:c r="O425" s="150"/>
      <x:c r="P425" s="150"/>
      <x:c r="Q425" s="151"/>
      <x:c r="R425" s="148" t="str">
        <x:f>IF(OR(Q425="",'Setup &amp; Lists'!$B$8=""),"",Q425*'Setup &amp; Lists'!$B$8)</x:f>
      </x:c>
      <x:c r="S425" s="115"/>
      <x:c r="T425" s="117"/>
      <x:c r="U425" s="119"/>
    </x:row>
    <x:row r="426">
      <x:c r="A426" s="139"/>
      <x:c r="B426" s="117"/>
      <x:c r="C426" s="117"/>
      <x:c r="D426" s="117"/>
      <x:c r="E426" s="117"/>
      <x:c r="F426" s="117"/>
      <x:c r="G426" s="117"/>
      <x:c r="H426" s="117"/>
      <x:c r="I426" s="117"/>
      <x:c r="J426" s="118"/>
      <x:c r="K426" s="140"/>
      <x:c r="L426" s="137" t="str">
        <x:f>IF(OR(J426="",K426=""),"",(K426-J426)*1440)</x:f>
      </x:c>
      <x:c r="M426" s="149"/>
      <x:c r="N426" s="150"/>
      <x:c r="O426" s="150"/>
      <x:c r="P426" s="150"/>
      <x:c r="Q426" s="151"/>
      <x:c r="R426" s="148" t="str">
        <x:f>IF(OR(Q426="",'Setup &amp; Lists'!$B$8=""),"",Q426*'Setup &amp; Lists'!$B$8)</x:f>
      </x:c>
      <x:c r="S426" s="115"/>
      <x:c r="T426" s="117"/>
      <x:c r="U426" s="119"/>
    </x:row>
    <x:row r="427">
      <x:c r="A427" s="139"/>
      <x:c r="B427" s="117"/>
      <x:c r="C427" s="117"/>
      <x:c r="D427" s="117"/>
      <x:c r="E427" s="117"/>
      <x:c r="F427" s="117"/>
      <x:c r="G427" s="117"/>
      <x:c r="H427" s="117"/>
      <x:c r="I427" s="117"/>
      <x:c r="J427" s="118"/>
      <x:c r="K427" s="140"/>
      <x:c r="L427" s="137" t="str">
        <x:f>IF(OR(J427="",K427=""),"",(K427-J427)*1440)</x:f>
      </x:c>
      <x:c r="M427" s="149"/>
      <x:c r="N427" s="150"/>
      <x:c r="O427" s="150"/>
      <x:c r="P427" s="150"/>
      <x:c r="Q427" s="151"/>
      <x:c r="R427" s="148" t="str">
        <x:f>IF(OR(Q427="",'Setup &amp; Lists'!$B$8=""),"",Q427*'Setup &amp; Lists'!$B$8)</x:f>
      </x:c>
      <x:c r="S427" s="115"/>
      <x:c r="T427" s="117"/>
      <x:c r="U427" s="119"/>
    </x:row>
    <x:row r="428">
      <x:c r="A428" s="139"/>
      <x:c r="B428" s="117"/>
      <x:c r="C428" s="117"/>
      <x:c r="D428" s="117"/>
      <x:c r="E428" s="117"/>
      <x:c r="F428" s="117"/>
      <x:c r="G428" s="117"/>
      <x:c r="H428" s="117"/>
      <x:c r="I428" s="117"/>
      <x:c r="J428" s="118"/>
      <x:c r="K428" s="140"/>
      <x:c r="L428" s="137" t="str">
        <x:f>IF(OR(J428="",K428=""),"",(K428-J428)*1440)</x:f>
      </x:c>
      <x:c r="M428" s="149"/>
      <x:c r="N428" s="150"/>
      <x:c r="O428" s="150"/>
      <x:c r="P428" s="150"/>
      <x:c r="Q428" s="151"/>
      <x:c r="R428" s="148" t="str">
        <x:f>IF(OR(Q428="",'Setup &amp; Lists'!$B$8=""),"",Q428*'Setup &amp; Lists'!$B$8)</x:f>
      </x:c>
      <x:c r="S428" s="115"/>
      <x:c r="T428" s="117"/>
      <x:c r="U428" s="119"/>
    </x:row>
    <x:row r="429">
      <x:c r="A429" s="139"/>
      <x:c r="B429" s="117"/>
      <x:c r="C429" s="117"/>
      <x:c r="D429" s="117"/>
      <x:c r="E429" s="117"/>
      <x:c r="F429" s="117"/>
      <x:c r="G429" s="117"/>
      <x:c r="H429" s="117"/>
      <x:c r="I429" s="117"/>
      <x:c r="J429" s="118"/>
      <x:c r="K429" s="140"/>
      <x:c r="L429" s="137" t="str">
        <x:f>IF(OR(J429="",K429=""),"",(K429-J429)*1440)</x:f>
      </x:c>
      <x:c r="M429" s="149"/>
      <x:c r="N429" s="150"/>
      <x:c r="O429" s="150"/>
      <x:c r="P429" s="150"/>
      <x:c r="Q429" s="151"/>
      <x:c r="R429" s="148" t="str">
        <x:f>IF(OR(Q429="",'Setup &amp; Lists'!$B$8=""),"",Q429*'Setup &amp; Lists'!$B$8)</x:f>
      </x:c>
      <x:c r="S429" s="115"/>
      <x:c r="T429" s="117"/>
      <x:c r="U429" s="119"/>
    </x:row>
    <x:row r="430">
      <x:c r="A430" s="139"/>
      <x:c r="B430" s="117"/>
      <x:c r="C430" s="117"/>
      <x:c r="D430" s="117"/>
      <x:c r="E430" s="117"/>
      <x:c r="F430" s="117"/>
      <x:c r="G430" s="117"/>
      <x:c r="H430" s="117"/>
      <x:c r="I430" s="117"/>
      <x:c r="J430" s="118"/>
      <x:c r="K430" s="140"/>
      <x:c r="L430" s="137" t="str">
        <x:f>IF(OR(J430="",K430=""),"",(K430-J430)*1440)</x:f>
      </x:c>
      <x:c r="M430" s="149"/>
      <x:c r="N430" s="150"/>
      <x:c r="O430" s="150"/>
      <x:c r="P430" s="150"/>
      <x:c r="Q430" s="151"/>
      <x:c r="R430" s="148" t="str">
        <x:f>IF(OR(Q430="",'Setup &amp; Lists'!$B$8=""),"",Q430*'Setup &amp; Lists'!$B$8)</x:f>
      </x:c>
      <x:c r="S430" s="115"/>
      <x:c r="T430" s="117"/>
      <x:c r="U430" s="119"/>
    </x:row>
    <x:row r="431">
      <x:c r="A431" s="139"/>
      <x:c r="B431" s="117"/>
      <x:c r="C431" s="117"/>
      <x:c r="D431" s="117"/>
      <x:c r="E431" s="117"/>
      <x:c r="F431" s="117"/>
      <x:c r="G431" s="117"/>
      <x:c r="H431" s="117"/>
      <x:c r="I431" s="117"/>
      <x:c r="J431" s="118"/>
      <x:c r="K431" s="140"/>
      <x:c r="L431" s="137" t="str">
        <x:f>IF(OR(J431="",K431=""),"",(K431-J431)*1440)</x:f>
      </x:c>
      <x:c r="M431" s="149"/>
      <x:c r="N431" s="150"/>
      <x:c r="O431" s="150"/>
      <x:c r="P431" s="150"/>
      <x:c r="Q431" s="151"/>
      <x:c r="R431" s="148" t="str">
        <x:f>IF(OR(Q431="",'Setup &amp; Lists'!$B$8=""),"",Q431*'Setup &amp; Lists'!$B$8)</x:f>
      </x:c>
      <x:c r="S431" s="115"/>
      <x:c r="T431" s="117"/>
      <x:c r="U431" s="119"/>
    </x:row>
    <x:row r="432">
      <x:c r="A432" s="139"/>
      <x:c r="B432" s="117"/>
      <x:c r="C432" s="117"/>
      <x:c r="D432" s="117"/>
      <x:c r="E432" s="117"/>
      <x:c r="F432" s="117"/>
      <x:c r="G432" s="117"/>
      <x:c r="H432" s="117"/>
      <x:c r="I432" s="117"/>
      <x:c r="J432" s="118"/>
      <x:c r="K432" s="140"/>
      <x:c r="L432" s="137" t="str">
        <x:f>IF(OR(J432="",K432=""),"",(K432-J432)*1440)</x:f>
      </x:c>
      <x:c r="M432" s="149"/>
      <x:c r="N432" s="150"/>
      <x:c r="O432" s="150"/>
      <x:c r="P432" s="150"/>
      <x:c r="Q432" s="151"/>
      <x:c r="R432" s="148" t="str">
        <x:f>IF(OR(Q432="",'Setup &amp; Lists'!$B$8=""),"",Q432*'Setup &amp; Lists'!$B$8)</x:f>
      </x:c>
      <x:c r="S432" s="115"/>
      <x:c r="T432" s="117"/>
      <x:c r="U432" s="119"/>
    </x:row>
    <x:row r="433">
      <x:c r="A433" s="139"/>
      <x:c r="B433" s="117"/>
      <x:c r="C433" s="117"/>
      <x:c r="D433" s="117"/>
      <x:c r="E433" s="117"/>
      <x:c r="F433" s="117"/>
      <x:c r="G433" s="117"/>
      <x:c r="H433" s="117"/>
      <x:c r="I433" s="117"/>
      <x:c r="J433" s="118"/>
      <x:c r="K433" s="140"/>
      <x:c r="L433" s="137" t="str">
        <x:f>IF(OR(J433="",K433=""),"",(K433-J433)*1440)</x:f>
      </x:c>
      <x:c r="M433" s="149"/>
      <x:c r="N433" s="150"/>
      <x:c r="O433" s="150"/>
      <x:c r="P433" s="150"/>
      <x:c r="Q433" s="151"/>
      <x:c r="R433" s="148" t="str">
        <x:f>IF(OR(Q433="",'Setup &amp; Lists'!$B$8=""),"",Q433*'Setup &amp; Lists'!$B$8)</x:f>
      </x:c>
      <x:c r="S433" s="115"/>
      <x:c r="T433" s="117"/>
      <x:c r="U433" s="119"/>
    </x:row>
    <x:row r="434">
      <x:c r="A434" s="139"/>
      <x:c r="B434" s="117"/>
      <x:c r="C434" s="117"/>
      <x:c r="D434" s="117"/>
      <x:c r="E434" s="117"/>
      <x:c r="F434" s="117"/>
      <x:c r="G434" s="117"/>
      <x:c r="H434" s="117"/>
      <x:c r="I434" s="117"/>
      <x:c r="J434" s="118"/>
      <x:c r="K434" s="140"/>
      <x:c r="L434" s="137" t="str">
        <x:f>IF(OR(J434="",K434=""),"",(K434-J434)*1440)</x:f>
      </x:c>
      <x:c r="M434" s="149"/>
      <x:c r="N434" s="150"/>
      <x:c r="O434" s="150"/>
      <x:c r="P434" s="150"/>
      <x:c r="Q434" s="151"/>
      <x:c r="R434" s="148" t="str">
        <x:f>IF(OR(Q434="",'Setup &amp; Lists'!$B$8=""),"",Q434*'Setup &amp; Lists'!$B$8)</x:f>
      </x:c>
      <x:c r="S434" s="115"/>
      <x:c r="T434" s="117"/>
      <x:c r="U434" s="119"/>
    </x:row>
    <x:row r="435">
      <x:c r="A435" s="139"/>
      <x:c r="B435" s="117"/>
      <x:c r="C435" s="117"/>
      <x:c r="D435" s="117"/>
      <x:c r="E435" s="117"/>
      <x:c r="F435" s="117"/>
      <x:c r="G435" s="117"/>
      <x:c r="H435" s="117"/>
      <x:c r="I435" s="117"/>
      <x:c r="J435" s="118"/>
      <x:c r="K435" s="140"/>
      <x:c r="L435" s="137" t="str">
        <x:f>IF(OR(J435="",K435=""),"",(K435-J435)*1440)</x:f>
      </x:c>
      <x:c r="M435" s="149"/>
      <x:c r="N435" s="150"/>
      <x:c r="O435" s="150"/>
      <x:c r="P435" s="150"/>
      <x:c r="Q435" s="151"/>
      <x:c r="R435" s="148" t="str">
        <x:f>IF(OR(Q435="",'Setup &amp; Lists'!$B$8=""),"",Q435*'Setup &amp; Lists'!$B$8)</x:f>
      </x:c>
      <x:c r="S435" s="115"/>
      <x:c r="T435" s="117"/>
      <x:c r="U435" s="119"/>
    </x:row>
    <x:row r="436">
      <x:c r="A436" s="139"/>
      <x:c r="B436" s="117"/>
      <x:c r="C436" s="117"/>
      <x:c r="D436" s="117"/>
      <x:c r="E436" s="117"/>
      <x:c r="F436" s="117"/>
      <x:c r="G436" s="117"/>
      <x:c r="H436" s="117"/>
      <x:c r="I436" s="117"/>
      <x:c r="J436" s="118"/>
      <x:c r="K436" s="140"/>
      <x:c r="L436" s="137" t="str">
        <x:f>IF(OR(J436="",K436=""),"",(K436-J436)*1440)</x:f>
      </x:c>
      <x:c r="M436" s="149"/>
      <x:c r="N436" s="150"/>
      <x:c r="O436" s="150"/>
      <x:c r="P436" s="150"/>
      <x:c r="Q436" s="151"/>
      <x:c r="R436" s="148" t="str">
        <x:f>IF(OR(Q436="",'Setup &amp; Lists'!$B$8=""),"",Q436*'Setup &amp; Lists'!$B$8)</x:f>
      </x:c>
      <x:c r="S436" s="115"/>
      <x:c r="T436" s="117"/>
      <x:c r="U436" s="119"/>
    </x:row>
    <x:row r="437">
      <x:c r="A437" s="139"/>
      <x:c r="B437" s="117"/>
      <x:c r="C437" s="117"/>
      <x:c r="D437" s="117"/>
      <x:c r="E437" s="117"/>
      <x:c r="F437" s="117"/>
      <x:c r="G437" s="117"/>
      <x:c r="H437" s="117"/>
      <x:c r="I437" s="117"/>
      <x:c r="J437" s="118"/>
      <x:c r="K437" s="140"/>
      <x:c r="L437" s="137" t="str">
        <x:f>IF(OR(J437="",K437=""),"",(K437-J437)*1440)</x:f>
      </x:c>
      <x:c r="M437" s="149"/>
      <x:c r="N437" s="150"/>
      <x:c r="O437" s="150"/>
      <x:c r="P437" s="150"/>
      <x:c r="Q437" s="151"/>
      <x:c r="R437" s="148" t="str">
        <x:f>IF(OR(Q437="",'Setup &amp; Lists'!$B$8=""),"",Q437*'Setup &amp; Lists'!$B$8)</x:f>
      </x:c>
      <x:c r="S437" s="115"/>
      <x:c r="T437" s="117"/>
      <x:c r="U437" s="119"/>
    </x:row>
    <x:row r="438">
      <x:c r="A438" s="139"/>
      <x:c r="B438" s="117"/>
      <x:c r="C438" s="117"/>
      <x:c r="D438" s="117"/>
      <x:c r="E438" s="117"/>
      <x:c r="F438" s="117"/>
      <x:c r="G438" s="117"/>
      <x:c r="H438" s="117"/>
      <x:c r="I438" s="117"/>
      <x:c r="J438" s="118"/>
      <x:c r="K438" s="140"/>
      <x:c r="L438" s="137" t="str">
        <x:f>IF(OR(J438="",K438=""),"",(K438-J438)*1440)</x:f>
      </x:c>
      <x:c r="M438" s="149"/>
      <x:c r="N438" s="150"/>
      <x:c r="O438" s="150"/>
      <x:c r="P438" s="150"/>
      <x:c r="Q438" s="151"/>
      <x:c r="R438" s="148" t="str">
        <x:f>IF(OR(Q438="",'Setup &amp; Lists'!$B$8=""),"",Q438*'Setup &amp; Lists'!$B$8)</x:f>
      </x:c>
      <x:c r="S438" s="115"/>
      <x:c r="T438" s="117"/>
      <x:c r="U438" s="119"/>
    </x:row>
    <x:row r="439">
      <x:c r="A439" s="139"/>
      <x:c r="B439" s="117"/>
      <x:c r="C439" s="117"/>
      <x:c r="D439" s="117"/>
      <x:c r="E439" s="117"/>
      <x:c r="F439" s="117"/>
      <x:c r="G439" s="117"/>
      <x:c r="H439" s="117"/>
      <x:c r="I439" s="117"/>
      <x:c r="J439" s="118"/>
      <x:c r="K439" s="140"/>
      <x:c r="L439" s="137" t="str">
        <x:f>IF(OR(J439="",K439=""),"",(K439-J439)*1440)</x:f>
      </x:c>
      <x:c r="M439" s="149"/>
      <x:c r="N439" s="150"/>
      <x:c r="O439" s="150"/>
      <x:c r="P439" s="150"/>
      <x:c r="Q439" s="151"/>
      <x:c r="R439" s="148" t="str">
        <x:f>IF(OR(Q439="",'Setup &amp; Lists'!$B$8=""),"",Q439*'Setup &amp; Lists'!$B$8)</x:f>
      </x:c>
      <x:c r="S439" s="115"/>
      <x:c r="T439" s="117"/>
      <x:c r="U439" s="119"/>
    </x:row>
    <x:row r="440">
      <x:c r="A440" s="139"/>
      <x:c r="B440" s="117"/>
      <x:c r="C440" s="117"/>
      <x:c r="D440" s="117"/>
      <x:c r="E440" s="117"/>
      <x:c r="F440" s="117"/>
      <x:c r="G440" s="117"/>
      <x:c r="H440" s="117"/>
      <x:c r="I440" s="117"/>
      <x:c r="J440" s="118"/>
      <x:c r="K440" s="140"/>
      <x:c r="L440" s="137" t="str">
        <x:f>IF(OR(J440="",K440=""),"",(K440-J440)*1440)</x:f>
      </x:c>
      <x:c r="M440" s="149"/>
      <x:c r="N440" s="150"/>
      <x:c r="O440" s="150"/>
      <x:c r="P440" s="150"/>
      <x:c r="Q440" s="151"/>
      <x:c r="R440" s="148" t="str">
        <x:f>IF(OR(Q440="",'Setup &amp; Lists'!$B$8=""),"",Q440*'Setup &amp; Lists'!$B$8)</x:f>
      </x:c>
      <x:c r="S440" s="115"/>
      <x:c r="T440" s="117"/>
      <x:c r="U440" s="119"/>
    </x:row>
    <x:row r="441">
      <x:c r="A441" s="139"/>
      <x:c r="B441" s="117"/>
      <x:c r="C441" s="117"/>
      <x:c r="D441" s="117"/>
      <x:c r="E441" s="117"/>
      <x:c r="F441" s="117"/>
      <x:c r="G441" s="117"/>
      <x:c r="H441" s="117"/>
      <x:c r="I441" s="117"/>
      <x:c r="J441" s="118"/>
      <x:c r="K441" s="140"/>
      <x:c r="L441" s="137" t="str">
        <x:f>IF(OR(J441="",K441=""),"",(K441-J441)*1440)</x:f>
      </x:c>
      <x:c r="M441" s="149"/>
      <x:c r="N441" s="150"/>
      <x:c r="O441" s="150"/>
      <x:c r="P441" s="150"/>
      <x:c r="Q441" s="151"/>
      <x:c r="R441" s="148" t="str">
        <x:f>IF(OR(Q441="",'Setup &amp; Lists'!$B$8=""),"",Q441*'Setup &amp; Lists'!$B$8)</x:f>
      </x:c>
      <x:c r="S441" s="115"/>
      <x:c r="T441" s="117"/>
      <x:c r="U441" s="119"/>
    </x:row>
    <x:row r="442">
      <x:c r="A442" s="139"/>
      <x:c r="B442" s="117"/>
      <x:c r="C442" s="117"/>
      <x:c r="D442" s="117"/>
      <x:c r="E442" s="117"/>
      <x:c r="F442" s="117"/>
      <x:c r="G442" s="117"/>
      <x:c r="H442" s="117"/>
      <x:c r="I442" s="117"/>
      <x:c r="J442" s="118"/>
      <x:c r="K442" s="140"/>
      <x:c r="L442" s="137" t="str">
        <x:f>IF(OR(J442="",K442=""),"",(K442-J442)*1440)</x:f>
      </x:c>
      <x:c r="M442" s="149"/>
      <x:c r="N442" s="150"/>
      <x:c r="O442" s="150"/>
      <x:c r="P442" s="150"/>
      <x:c r="Q442" s="151"/>
      <x:c r="R442" s="148" t="str">
        <x:f>IF(OR(Q442="",'Setup &amp; Lists'!$B$8=""),"",Q442*'Setup &amp; Lists'!$B$8)</x:f>
      </x:c>
      <x:c r="S442" s="115"/>
      <x:c r="T442" s="117"/>
      <x:c r="U442" s="119"/>
    </x:row>
    <x:row r="443">
      <x:c r="A443" s="139"/>
      <x:c r="B443" s="117"/>
      <x:c r="C443" s="117"/>
      <x:c r="D443" s="117"/>
      <x:c r="E443" s="117"/>
      <x:c r="F443" s="117"/>
      <x:c r="G443" s="117"/>
      <x:c r="H443" s="117"/>
      <x:c r="I443" s="117"/>
      <x:c r="J443" s="118"/>
      <x:c r="K443" s="140"/>
      <x:c r="L443" s="137" t="str">
        <x:f>IF(OR(J443="",K443=""),"",(K443-J443)*1440)</x:f>
      </x:c>
      <x:c r="M443" s="149"/>
      <x:c r="N443" s="150"/>
      <x:c r="O443" s="150"/>
      <x:c r="P443" s="150"/>
      <x:c r="Q443" s="151"/>
      <x:c r="R443" s="148" t="str">
        <x:f>IF(OR(Q443="",'Setup &amp; Lists'!$B$8=""),"",Q443*'Setup &amp; Lists'!$B$8)</x:f>
      </x:c>
      <x:c r="S443" s="115"/>
      <x:c r="T443" s="117"/>
      <x:c r="U443" s="119"/>
    </x:row>
    <x:row r="444">
      <x:c r="A444" s="139"/>
      <x:c r="B444" s="117"/>
      <x:c r="C444" s="117"/>
      <x:c r="D444" s="117"/>
      <x:c r="E444" s="117"/>
      <x:c r="F444" s="117"/>
      <x:c r="G444" s="117"/>
      <x:c r="H444" s="117"/>
      <x:c r="I444" s="117"/>
      <x:c r="J444" s="118"/>
      <x:c r="K444" s="140"/>
      <x:c r="L444" s="137" t="str">
        <x:f>IF(OR(J444="",K444=""),"",(K444-J444)*1440)</x:f>
      </x:c>
      <x:c r="M444" s="149"/>
      <x:c r="N444" s="150"/>
      <x:c r="O444" s="150"/>
      <x:c r="P444" s="150"/>
      <x:c r="Q444" s="151"/>
      <x:c r="R444" s="148" t="str">
        <x:f>IF(OR(Q444="",'Setup &amp; Lists'!$B$8=""),"",Q444*'Setup &amp; Lists'!$B$8)</x:f>
      </x:c>
      <x:c r="S444" s="115"/>
      <x:c r="T444" s="117"/>
      <x:c r="U444" s="119"/>
    </x:row>
    <x:row r="445">
      <x:c r="A445" s="139"/>
      <x:c r="B445" s="117"/>
      <x:c r="C445" s="117"/>
      <x:c r="D445" s="117"/>
      <x:c r="E445" s="117"/>
      <x:c r="F445" s="117"/>
      <x:c r="G445" s="117"/>
      <x:c r="H445" s="117"/>
      <x:c r="I445" s="117"/>
      <x:c r="J445" s="118"/>
      <x:c r="K445" s="140"/>
      <x:c r="L445" s="137" t="str">
        <x:f>IF(OR(J445="",K445=""),"",(K445-J445)*1440)</x:f>
      </x:c>
      <x:c r="M445" s="149"/>
      <x:c r="N445" s="150"/>
      <x:c r="O445" s="150"/>
      <x:c r="P445" s="150"/>
      <x:c r="Q445" s="151"/>
      <x:c r="R445" s="148" t="str">
        <x:f>IF(OR(Q445="",'Setup &amp; Lists'!$B$8=""),"",Q445*'Setup &amp; Lists'!$B$8)</x:f>
      </x:c>
      <x:c r="S445" s="115"/>
      <x:c r="T445" s="117"/>
      <x:c r="U445" s="119"/>
    </x:row>
    <x:row r="446">
      <x:c r="A446" s="139"/>
      <x:c r="B446" s="117"/>
      <x:c r="C446" s="117"/>
      <x:c r="D446" s="117"/>
      <x:c r="E446" s="117"/>
      <x:c r="F446" s="117"/>
      <x:c r="G446" s="117"/>
      <x:c r="H446" s="117"/>
      <x:c r="I446" s="117"/>
      <x:c r="J446" s="118"/>
      <x:c r="K446" s="140"/>
      <x:c r="L446" s="137" t="str">
        <x:f>IF(OR(J446="",K446=""),"",(K446-J446)*1440)</x:f>
      </x:c>
      <x:c r="M446" s="149"/>
      <x:c r="N446" s="150"/>
      <x:c r="O446" s="150"/>
      <x:c r="P446" s="150"/>
      <x:c r="Q446" s="151"/>
      <x:c r="R446" s="148" t="str">
        <x:f>IF(OR(Q446="",'Setup &amp; Lists'!$B$8=""),"",Q446*'Setup &amp; Lists'!$B$8)</x:f>
      </x:c>
      <x:c r="S446" s="115"/>
      <x:c r="T446" s="117"/>
      <x:c r="U446" s="119"/>
    </x:row>
    <x:row r="447">
      <x:c r="A447" s="139"/>
      <x:c r="B447" s="117"/>
      <x:c r="C447" s="117"/>
      <x:c r="D447" s="117"/>
      <x:c r="E447" s="117"/>
      <x:c r="F447" s="117"/>
      <x:c r="G447" s="117"/>
      <x:c r="H447" s="117"/>
      <x:c r="I447" s="117"/>
      <x:c r="J447" s="118"/>
      <x:c r="K447" s="140"/>
      <x:c r="L447" s="137" t="str">
        <x:f>IF(OR(J447="",K447=""),"",(K447-J447)*1440)</x:f>
      </x:c>
      <x:c r="M447" s="149"/>
      <x:c r="N447" s="150"/>
      <x:c r="O447" s="150"/>
      <x:c r="P447" s="150"/>
      <x:c r="Q447" s="151"/>
      <x:c r="R447" s="148" t="str">
        <x:f>IF(OR(Q447="",'Setup &amp; Lists'!$B$8=""),"",Q447*'Setup &amp; Lists'!$B$8)</x:f>
      </x:c>
      <x:c r="S447" s="115"/>
      <x:c r="T447" s="117"/>
      <x:c r="U447" s="119"/>
    </x:row>
    <x:row r="448">
      <x:c r="A448" s="139"/>
      <x:c r="B448" s="117"/>
      <x:c r="C448" s="117"/>
      <x:c r="D448" s="117"/>
      <x:c r="E448" s="117"/>
      <x:c r="F448" s="117"/>
      <x:c r="G448" s="117"/>
      <x:c r="H448" s="117"/>
      <x:c r="I448" s="117"/>
      <x:c r="J448" s="118"/>
      <x:c r="K448" s="140"/>
      <x:c r="L448" s="137" t="str">
        <x:f>IF(OR(J448="",K448=""),"",(K448-J448)*1440)</x:f>
      </x:c>
      <x:c r="M448" s="149"/>
      <x:c r="N448" s="150"/>
      <x:c r="O448" s="150"/>
      <x:c r="P448" s="150"/>
      <x:c r="Q448" s="151"/>
      <x:c r="R448" s="148" t="str">
        <x:f>IF(OR(Q448="",'Setup &amp; Lists'!$B$8=""),"",Q448*'Setup &amp; Lists'!$B$8)</x:f>
      </x:c>
      <x:c r="S448" s="115"/>
      <x:c r="T448" s="117"/>
      <x:c r="U448" s="119"/>
    </x:row>
    <x:row r="449">
      <x:c r="A449" s="139"/>
      <x:c r="B449" s="117"/>
      <x:c r="C449" s="117"/>
      <x:c r="D449" s="117"/>
      <x:c r="E449" s="117"/>
      <x:c r="F449" s="117"/>
      <x:c r="G449" s="117"/>
      <x:c r="H449" s="117"/>
      <x:c r="I449" s="117"/>
      <x:c r="J449" s="118"/>
      <x:c r="K449" s="140"/>
      <x:c r="L449" s="137" t="str">
        <x:f>IF(OR(J449="",K449=""),"",(K449-J449)*1440)</x:f>
      </x:c>
      <x:c r="M449" s="149"/>
      <x:c r="N449" s="150"/>
      <x:c r="O449" s="150"/>
      <x:c r="P449" s="150"/>
      <x:c r="Q449" s="151"/>
      <x:c r="R449" s="148" t="str">
        <x:f>IF(OR(Q449="",'Setup &amp; Lists'!$B$8=""),"",Q449*'Setup &amp; Lists'!$B$8)</x:f>
      </x:c>
      <x:c r="S449" s="115"/>
      <x:c r="T449" s="117"/>
      <x:c r="U449" s="119"/>
    </x:row>
    <x:row r="450">
      <x:c r="A450" s="139"/>
      <x:c r="B450" s="117"/>
      <x:c r="C450" s="117"/>
      <x:c r="D450" s="117"/>
      <x:c r="E450" s="117"/>
      <x:c r="F450" s="117"/>
      <x:c r="G450" s="117"/>
      <x:c r="H450" s="117"/>
      <x:c r="I450" s="117"/>
      <x:c r="J450" s="118"/>
      <x:c r="K450" s="140"/>
      <x:c r="L450" s="137" t="str">
        <x:f>IF(OR(J450="",K450=""),"",(K450-J450)*1440)</x:f>
      </x:c>
      <x:c r="M450" s="149"/>
      <x:c r="N450" s="150"/>
      <x:c r="O450" s="150"/>
      <x:c r="P450" s="150"/>
      <x:c r="Q450" s="151"/>
      <x:c r="R450" s="148" t="str">
        <x:f>IF(OR(Q450="",'Setup &amp; Lists'!$B$8=""),"",Q450*'Setup &amp; Lists'!$B$8)</x:f>
      </x:c>
      <x:c r="S450" s="115"/>
      <x:c r="T450" s="117"/>
      <x:c r="U450" s="119"/>
    </x:row>
    <x:row r="451">
      <x:c r="A451" s="139"/>
      <x:c r="B451" s="117"/>
      <x:c r="C451" s="117"/>
      <x:c r="D451" s="117"/>
      <x:c r="E451" s="117"/>
      <x:c r="F451" s="117"/>
      <x:c r="G451" s="117"/>
      <x:c r="H451" s="117"/>
      <x:c r="I451" s="117"/>
      <x:c r="J451" s="118"/>
      <x:c r="K451" s="140"/>
      <x:c r="L451" s="137" t="str">
        <x:f>IF(OR(J451="",K451=""),"",(K451-J451)*1440)</x:f>
      </x:c>
      <x:c r="M451" s="149"/>
      <x:c r="N451" s="150"/>
      <x:c r="O451" s="150"/>
      <x:c r="P451" s="150"/>
      <x:c r="Q451" s="151"/>
      <x:c r="R451" s="148" t="str">
        <x:f>IF(OR(Q451="",'Setup &amp; Lists'!$B$8=""),"",Q451*'Setup &amp; Lists'!$B$8)</x:f>
      </x:c>
      <x:c r="S451" s="115"/>
      <x:c r="T451" s="117"/>
      <x:c r="U451" s="119"/>
    </x:row>
    <x:row r="452">
      <x:c r="A452" s="139"/>
      <x:c r="B452" s="117"/>
      <x:c r="C452" s="117"/>
      <x:c r="D452" s="117"/>
      <x:c r="E452" s="117"/>
      <x:c r="F452" s="117"/>
      <x:c r="G452" s="117"/>
      <x:c r="H452" s="117"/>
      <x:c r="I452" s="117"/>
      <x:c r="J452" s="118"/>
      <x:c r="K452" s="140"/>
      <x:c r="L452" s="137" t="str">
        <x:f>IF(OR(J452="",K452=""),"",(K452-J452)*1440)</x:f>
      </x:c>
      <x:c r="M452" s="149"/>
      <x:c r="N452" s="150"/>
      <x:c r="O452" s="150"/>
      <x:c r="P452" s="150"/>
      <x:c r="Q452" s="151"/>
      <x:c r="R452" s="148" t="str">
        <x:f>IF(OR(Q452="",'Setup &amp; Lists'!$B$8=""),"",Q452*'Setup &amp; Lists'!$B$8)</x:f>
      </x:c>
      <x:c r="S452" s="115"/>
      <x:c r="T452" s="117"/>
      <x:c r="U452" s="119"/>
    </x:row>
    <x:row r="453">
      <x:c r="A453" s="139"/>
      <x:c r="B453" s="117"/>
      <x:c r="C453" s="117"/>
      <x:c r="D453" s="117"/>
      <x:c r="E453" s="117"/>
      <x:c r="F453" s="117"/>
      <x:c r="G453" s="117"/>
      <x:c r="H453" s="117"/>
      <x:c r="I453" s="117"/>
      <x:c r="J453" s="118"/>
      <x:c r="K453" s="140"/>
      <x:c r="L453" s="137" t="str">
        <x:f>IF(OR(J453="",K453=""),"",(K453-J453)*1440)</x:f>
      </x:c>
      <x:c r="M453" s="149"/>
      <x:c r="N453" s="150"/>
      <x:c r="O453" s="150"/>
      <x:c r="P453" s="150"/>
      <x:c r="Q453" s="151"/>
      <x:c r="R453" s="148" t="str">
        <x:f>IF(OR(Q453="",'Setup &amp; Lists'!$B$8=""),"",Q453*'Setup &amp; Lists'!$B$8)</x:f>
      </x:c>
      <x:c r="S453" s="115"/>
      <x:c r="T453" s="117"/>
      <x:c r="U453" s="119"/>
    </x:row>
    <x:row r="454">
      <x:c r="A454" s="139"/>
      <x:c r="B454" s="117"/>
      <x:c r="C454" s="117"/>
      <x:c r="D454" s="117"/>
      <x:c r="E454" s="117"/>
      <x:c r="F454" s="117"/>
      <x:c r="G454" s="117"/>
      <x:c r="H454" s="117"/>
      <x:c r="I454" s="117"/>
      <x:c r="J454" s="118"/>
      <x:c r="K454" s="140"/>
      <x:c r="L454" s="137" t="str">
        <x:f>IF(OR(J454="",K454=""),"",(K454-J454)*1440)</x:f>
      </x:c>
      <x:c r="M454" s="149"/>
      <x:c r="N454" s="150"/>
      <x:c r="O454" s="150"/>
      <x:c r="P454" s="150"/>
      <x:c r="Q454" s="151"/>
      <x:c r="R454" s="148" t="str">
        <x:f>IF(OR(Q454="",'Setup &amp; Lists'!$B$8=""),"",Q454*'Setup &amp; Lists'!$B$8)</x:f>
      </x:c>
      <x:c r="S454" s="115"/>
      <x:c r="T454" s="117"/>
      <x:c r="U454" s="119"/>
    </x:row>
    <x:row r="455">
      <x:c r="A455" s="139"/>
      <x:c r="B455" s="117"/>
      <x:c r="C455" s="117"/>
      <x:c r="D455" s="117"/>
      <x:c r="E455" s="117"/>
      <x:c r="F455" s="117"/>
      <x:c r="G455" s="117"/>
      <x:c r="H455" s="117"/>
      <x:c r="I455" s="117"/>
      <x:c r="J455" s="118"/>
      <x:c r="K455" s="140"/>
      <x:c r="L455" s="137" t="str">
        <x:f>IF(OR(J455="",K455=""),"",(K455-J455)*1440)</x:f>
      </x:c>
      <x:c r="M455" s="149"/>
      <x:c r="N455" s="150"/>
      <x:c r="O455" s="150"/>
      <x:c r="P455" s="150"/>
      <x:c r="Q455" s="151"/>
      <x:c r="R455" s="148" t="str">
        <x:f>IF(OR(Q455="",'Setup &amp; Lists'!$B$8=""),"",Q455*'Setup &amp; Lists'!$B$8)</x:f>
      </x:c>
      <x:c r="S455" s="115"/>
      <x:c r="T455" s="117"/>
      <x:c r="U455" s="119"/>
    </x:row>
    <x:row r="456">
      <x:c r="A456" s="139"/>
      <x:c r="B456" s="117"/>
      <x:c r="C456" s="117"/>
      <x:c r="D456" s="117"/>
      <x:c r="E456" s="117"/>
      <x:c r="F456" s="117"/>
      <x:c r="G456" s="117"/>
      <x:c r="H456" s="117"/>
      <x:c r="I456" s="117"/>
      <x:c r="J456" s="118"/>
      <x:c r="K456" s="140"/>
      <x:c r="L456" s="137" t="str">
        <x:f>IF(OR(J456="",K456=""),"",(K456-J456)*1440)</x:f>
      </x:c>
      <x:c r="M456" s="149"/>
      <x:c r="N456" s="150"/>
      <x:c r="O456" s="150"/>
      <x:c r="P456" s="150"/>
      <x:c r="Q456" s="151"/>
      <x:c r="R456" s="148" t="str">
        <x:f>IF(OR(Q456="",'Setup &amp; Lists'!$B$8=""),"",Q456*'Setup &amp; Lists'!$B$8)</x:f>
      </x:c>
      <x:c r="S456" s="115"/>
      <x:c r="T456" s="117"/>
      <x:c r="U456" s="119"/>
    </x:row>
    <x:row r="457">
      <x:c r="A457" s="139"/>
      <x:c r="B457" s="117"/>
      <x:c r="C457" s="117"/>
      <x:c r="D457" s="117"/>
      <x:c r="E457" s="117"/>
      <x:c r="F457" s="117"/>
      <x:c r="G457" s="117"/>
      <x:c r="H457" s="117"/>
      <x:c r="I457" s="117"/>
      <x:c r="J457" s="118"/>
      <x:c r="K457" s="140"/>
      <x:c r="L457" s="137" t="str">
        <x:f>IF(OR(J457="",K457=""),"",(K457-J457)*1440)</x:f>
      </x:c>
      <x:c r="M457" s="149"/>
      <x:c r="N457" s="150"/>
      <x:c r="O457" s="150"/>
      <x:c r="P457" s="150"/>
      <x:c r="Q457" s="151"/>
      <x:c r="R457" s="148" t="str">
        <x:f>IF(OR(Q457="",'Setup &amp; Lists'!$B$8=""),"",Q457*'Setup &amp; Lists'!$B$8)</x:f>
      </x:c>
      <x:c r="S457" s="115"/>
      <x:c r="T457" s="117"/>
      <x:c r="U457" s="119"/>
    </x:row>
    <x:row r="458">
      <x:c r="A458" s="139"/>
      <x:c r="B458" s="117"/>
      <x:c r="C458" s="117"/>
      <x:c r="D458" s="117"/>
      <x:c r="E458" s="117"/>
      <x:c r="F458" s="117"/>
      <x:c r="G458" s="117"/>
      <x:c r="H458" s="117"/>
      <x:c r="I458" s="117"/>
      <x:c r="J458" s="118"/>
      <x:c r="K458" s="140"/>
      <x:c r="L458" s="137" t="str">
        <x:f>IF(OR(J458="",K458=""),"",(K458-J458)*1440)</x:f>
      </x:c>
      <x:c r="M458" s="149"/>
      <x:c r="N458" s="150"/>
      <x:c r="O458" s="150"/>
      <x:c r="P458" s="150"/>
      <x:c r="Q458" s="151"/>
      <x:c r="R458" s="148" t="str">
        <x:f>IF(OR(Q458="",'Setup &amp; Lists'!$B$8=""),"",Q458*'Setup &amp; Lists'!$B$8)</x:f>
      </x:c>
      <x:c r="S458" s="115"/>
      <x:c r="T458" s="117"/>
      <x:c r="U458" s="119"/>
    </x:row>
    <x:row r="459">
      <x:c r="A459" s="139"/>
      <x:c r="B459" s="117"/>
      <x:c r="C459" s="117"/>
      <x:c r="D459" s="117"/>
      <x:c r="E459" s="117"/>
      <x:c r="F459" s="117"/>
      <x:c r="G459" s="117"/>
      <x:c r="H459" s="117"/>
      <x:c r="I459" s="117"/>
      <x:c r="J459" s="118"/>
      <x:c r="K459" s="140"/>
      <x:c r="L459" s="137" t="str">
        <x:f>IF(OR(J459="",K459=""),"",(K459-J459)*1440)</x:f>
      </x:c>
      <x:c r="M459" s="149"/>
      <x:c r="N459" s="150"/>
      <x:c r="O459" s="150"/>
      <x:c r="P459" s="150"/>
      <x:c r="Q459" s="151"/>
      <x:c r="R459" s="148" t="str">
        <x:f>IF(OR(Q459="",'Setup &amp; Lists'!$B$8=""),"",Q459*'Setup &amp; Lists'!$B$8)</x:f>
      </x:c>
      <x:c r="S459" s="115"/>
      <x:c r="T459" s="117"/>
      <x:c r="U459" s="119"/>
    </x:row>
    <x:row r="460">
      <x:c r="A460" s="139"/>
      <x:c r="B460" s="117"/>
      <x:c r="C460" s="117"/>
      <x:c r="D460" s="117"/>
      <x:c r="E460" s="117"/>
      <x:c r="F460" s="117"/>
      <x:c r="G460" s="117"/>
      <x:c r="H460" s="117"/>
      <x:c r="I460" s="117"/>
      <x:c r="J460" s="118"/>
      <x:c r="K460" s="140"/>
      <x:c r="L460" s="137" t="str">
        <x:f>IF(OR(J460="",K460=""),"",(K460-J460)*1440)</x:f>
      </x:c>
      <x:c r="M460" s="149"/>
      <x:c r="N460" s="150"/>
      <x:c r="O460" s="150"/>
      <x:c r="P460" s="150"/>
      <x:c r="Q460" s="151"/>
      <x:c r="R460" s="148" t="str">
        <x:f>IF(OR(Q460="",'Setup &amp; Lists'!$B$8=""),"",Q460*'Setup &amp; Lists'!$B$8)</x:f>
      </x:c>
      <x:c r="S460" s="115"/>
      <x:c r="T460" s="117"/>
      <x:c r="U460" s="119"/>
    </x:row>
    <x:row r="461">
      <x:c r="A461" s="139"/>
      <x:c r="B461" s="117"/>
      <x:c r="C461" s="117"/>
      <x:c r="D461" s="117"/>
      <x:c r="E461" s="117"/>
      <x:c r="F461" s="117"/>
      <x:c r="G461" s="117"/>
      <x:c r="H461" s="117"/>
      <x:c r="I461" s="117"/>
      <x:c r="J461" s="118"/>
      <x:c r="K461" s="140"/>
      <x:c r="L461" s="137" t="str">
        <x:f>IF(OR(J461="",K461=""),"",(K461-J461)*1440)</x:f>
      </x:c>
      <x:c r="M461" s="149"/>
      <x:c r="N461" s="150"/>
      <x:c r="O461" s="150"/>
      <x:c r="P461" s="150"/>
      <x:c r="Q461" s="151"/>
      <x:c r="R461" s="148" t="str">
        <x:f>IF(OR(Q461="",'Setup &amp; Lists'!$B$8=""),"",Q461*'Setup &amp; Lists'!$B$8)</x:f>
      </x:c>
      <x:c r="S461" s="115"/>
      <x:c r="T461" s="117"/>
      <x:c r="U461" s="119"/>
    </x:row>
    <x:row r="462">
      <x:c r="A462" s="139"/>
      <x:c r="B462" s="117"/>
      <x:c r="C462" s="117"/>
      <x:c r="D462" s="117"/>
      <x:c r="E462" s="117"/>
      <x:c r="F462" s="117"/>
      <x:c r="G462" s="117"/>
      <x:c r="H462" s="117"/>
      <x:c r="I462" s="117"/>
      <x:c r="J462" s="118"/>
      <x:c r="K462" s="140"/>
      <x:c r="L462" s="137" t="str">
        <x:f>IF(OR(J462="",K462=""),"",(K462-J462)*1440)</x:f>
      </x:c>
      <x:c r="M462" s="149"/>
      <x:c r="N462" s="150"/>
      <x:c r="O462" s="150"/>
      <x:c r="P462" s="150"/>
      <x:c r="Q462" s="151"/>
      <x:c r="R462" s="148" t="str">
        <x:f>IF(OR(Q462="",'Setup &amp; Lists'!$B$8=""),"",Q462*'Setup &amp; Lists'!$B$8)</x:f>
      </x:c>
      <x:c r="S462" s="115"/>
      <x:c r="T462" s="117"/>
      <x:c r="U462" s="119"/>
    </x:row>
    <x:row r="463">
      <x:c r="A463" s="139"/>
      <x:c r="B463" s="117"/>
      <x:c r="C463" s="117"/>
      <x:c r="D463" s="117"/>
      <x:c r="E463" s="117"/>
      <x:c r="F463" s="117"/>
      <x:c r="G463" s="117"/>
      <x:c r="H463" s="117"/>
      <x:c r="I463" s="117"/>
      <x:c r="J463" s="118"/>
      <x:c r="K463" s="140"/>
      <x:c r="L463" s="137" t="str">
        <x:f>IF(OR(J463="",K463=""),"",(K463-J463)*1440)</x:f>
      </x:c>
      <x:c r="M463" s="149"/>
      <x:c r="N463" s="150"/>
      <x:c r="O463" s="150"/>
      <x:c r="P463" s="150"/>
      <x:c r="Q463" s="151"/>
      <x:c r="R463" s="148" t="str">
        <x:f>IF(OR(Q463="",'Setup &amp; Lists'!$B$8=""),"",Q463*'Setup &amp; Lists'!$B$8)</x:f>
      </x:c>
      <x:c r="S463" s="115"/>
      <x:c r="T463" s="117"/>
      <x:c r="U463" s="119"/>
    </x:row>
    <x:row r="464">
      <x:c r="A464" s="139"/>
      <x:c r="B464" s="117"/>
      <x:c r="C464" s="117"/>
      <x:c r="D464" s="117"/>
      <x:c r="E464" s="117"/>
      <x:c r="F464" s="117"/>
      <x:c r="G464" s="117"/>
      <x:c r="H464" s="117"/>
      <x:c r="I464" s="117"/>
      <x:c r="J464" s="118"/>
      <x:c r="K464" s="140"/>
      <x:c r="L464" s="137" t="str">
        <x:f>IF(OR(J464="",K464=""),"",(K464-J464)*1440)</x:f>
      </x:c>
      <x:c r="M464" s="149"/>
      <x:c r="N464" s="150"/>
      <x:c r="O464" s="150"/>
      <x:c r="P464" s="150"/>
      <x:c r="Q464" s="151"/>
      <x:c r="R464" s="148" t="str">
        <x:f>IF(OR(Q464="",'Setup &amp; Lists'!$B$8=""),"",Q464*'Setup &amp; Lists'!$B$8)</x:f>
      </x:c>
      <x:c r="S464" s="115"/>
      <x:c r="T464" s="117"/>
      <x:c r="U464" s="119"/>
    </x:row>
    <x:row r="465">
      <x:c r="A465" s="139"/>
      <x:c r="B465" s="117"/>
      <x:c r="C465" s="117"/>
      <x:c r="D465" s="117"/>
      <x:c r="E465" s="117"/>
      <x:c r="F465" s="117"/>
      <x:c r="G465" s="117"/>
      <x:c r="H465" s="117"/>
      <x:c r="I465" s="117"/>
      <x:c r="J465" s="118"/>
      <x:c r="K465" s="140"/>
      <x:c r="L465" s="137" t="str">
        <x:f>IF(OR(J465="",K465=""),"",(K465-J465)*1440)</x:f>
      </x:c>
      <x:c r="M465" s="149"/>
      <x:c r="N465" s="150"/>
      <x:c r="O465" s="150"/>
      <x:c r="P465" s="150"/>
      <x:c r="Q465" s="151"/>
      <x:c r="R465" s="148" t="str">
        <x:f>IF(OR(Q465="",'Setup &amp; Lists'!$B$8=""),"",Q465*'Setup &amp; Lists'!$B$8)</x:f>
      </x:c>
      <x:c r="S465" s="115"/>
      <x:c r="T465" s="117"/>
      <x:c r="U465" s="119"/>
    </x:row>
    <x:row r="466">
      <x:c r="A466" s="139"/>
      <x:c r="B466" s="117"/>
      <x:c r="C466" s="117"/>
      <x:c r="D466" s="117"/>
      <x:c r="E466" s="117"/>
      <x:c r="F466" s="117"/>
      <x:c r="G466" s="117"/>
      <x:c r="H466" s="117"/>
      <x:c r="I466" s="117"/>
      <x:c r="J466" s="118"/>
      <x:c r="K466" s="140"/>
      <x:c r="L466" s="137" t="str">
        <x:f>IF(OR(J466="",K466=""),"",(K466-J466)*1440)</x:f>
      </x:c>
      <x:c r="M466" s="149"/>
      <x:c r="N466" s="150"/>
      <x:c r="O466" s="150"/>
      <x:c r="P466" s="150"/>
      <x:c r="Q466" s="151"/>
      <x:c r="R466" s="148" t="str">
        <x:f>IF(OR(Q466="",'Setup &amp; Lists'!$B$8=""),"",Q466*'Setup &amp; Lists'!$B$8)</x:f>
      </x:c>
      <x:c r="S466" s="115"/>
      <x:c r="T466" s="117"/>
      <x:c r="U466" s="119"/>
    </x:row>
    <x:row r="467">
      <x:c r="A467" s="139"/>
      <x:c r="B467" s="117"/>
      <x:c r="C467" s="117"/>
      <x:c r="D467" s="117"/>
      <x:c r="E467" s="117"/>
      <x:c r="F467" s="117"/>
      <x:c r="G467" s="117"/>
      <x:c r="H467" s="117"/>
      <x:c r="I467" s="117"/>
      <x:c r="J467" s="118"/>
      <x:c r="K467" s="140"/>
      <x:c r="L467" s="137" t="str">
        <x:f>IF(OR(J467="",K467=""),"",(K467-J467)*1440)</x:f>
      </x:c>
      <x:c r="M467" s="149"/>
      <x:c r="N467" s="150"/>
      <x:c r="O467" s="150"/>
      <x:c r="P467" s="150"/>
      <x:c r="Q467" s="151"/>
      <x:c r="R467" s="148" t="str">
        <x:f>IF(OR(Q467="",'Setup &amp; Lists'!$B$8=""),"",Q467*'Setup &amp; Lists'!$B$8)</x:f>
      </x:c>
      <x:c r="S467" s="115"/>
      <x:c r="T467" s="117"/>
      <x:c r="U467" s="119"/>
    </x:row>
    <x:row r="468">
      <x:c r="A468" s="139"/>
      <x:c r="B468" s="117"/>
      <x:c r="C468" s="117"/>
      <x:c r="D468" s="117"/>
      <x:c r="E468" s="117"/>
      <x:c r="F468" s="117"/>
      <x:c r="G468" s="117"/>
      <x:c r="H468" s="117"/>
      <x:c r="I468" s="117"/>
      <x:c r="J468" s="118"/>
      <x:c r="K468" s="140"/>
      <x:c r="L468" s="137" t="str">
        <x:f>IF(OR(J468="",K468=""),"",(K468-J468)*1440)</x:f>
      </x:c>
      <x:c r="M468" s="149"/>
      <x:c r="N468" s="150"/>
      <x:c r="O468" s="150"/>
      <x:c r="P468" s="150"/>
      <x:c r="Q468" s="151"/>
      <x:c r="R468" s="148" t="str">
        <x:f>IF(OR(Q468="",'Setup &amp; Lists'!$B$8=""),"",Q468*'Setup &amp; Lists'!$B$8)</x:f>
      </x:c>
      <x:c r="S468" s="115"/>
      <x:c r="T468" s="117"/>
      <x:c r="U468" s="119"/>
    </x:row>
    <x:row r="469">
      <x:c r="A469" s="139"/>
      <x:c r="B469" s="117"/>
      <x:c r="C469" s="117"/>
      <x:c r="D469" s="117"/>
      <x:c r="E469" s="117"/>
      <x:c r="F469" s="117"/>
      <x:c r="G469" s="117"/>
      <x:c r="H469" s="117"/>
      <x:c r="I469" s="117"/>
      <x:c r="J469" s="118"/>
      <x:c r="K469" s="140"/>
      <x:c r="L469" s="137" t="str">
        <x:f>IF(OR(J469="",K469=""),"",(K469-J469)*1440)</x:f>
      </x:c>
      <x:c r="M469" s="149"/>
      <x:c r="N469" s="150"/>
      <x:c r="O469" s="150"/>
      <x:c r="P469" s="150"/>
      <x:c r="Q469" s="151"/>
      <x:c r="R469" s="148" t="str">
        <x:f>IF(OR(Q469="",'Setup &amp; Lists'!$B$8=""),"",Q469*'Setup &amp; Lists'!$B$8)</x:f>
      </x:c>
      <x:c r="S469" s="115"/>
      <x:c r="T469" s="117"/>
      <x:c r="U469" s="119"/>
    </x:row>
    <x:row r="470">
      <x:c r="A470" s="139"/>
      <x:c r="B470" s="117"/>
      <x:c r="C470" s="117"/>
      <x:c r="D470" s="117"/>
      <x:c r="E470" s="117"/>
      <x:c r="F470" s="117"/>
      <x:c r="G470" s="117"/>
      <x:c r="H470" s="117"/>
      <x:c r="I470" s="117"/>
      <x:c r="J470" s="118"/>
      <x:c r="K470" s="140"/>
      <x:c r="L470" s="137" t="str">
        <x:f>IF(OR(J470="",K470=""),"",(K470-J470)*1440)</x:f>
      </x:c>
      <x:c r="M470" s="149"/>
      <x:c r="N470" s="150"/>
      <x:c r="O470" s="150"/>
      <x:c r="P470" s="150"/>
      <x:c r="Q470" s="151"/>
      <x:c r="R470" s="148" t="str">
        <x:f>IF(OR(Q470="",'Setup &amp; Lists'!$B$8=""),"",Q470*'Setup &amp; Lists'!$B$8)</x:f>
      </x:c>
      <x:c r="S470" s="115"/>
      <x:c r="T470" s="117"/>
      <x:c r="U470" s="119"/>
    </x:row>
    <x:row r="471">
      <x:c r="A471" s="139"/>
      <x:c r="B471" s="117"/>
      <x:c r="C471" s="117"/>
      <x:c r="D471" s="117"/>
      <x:c r="E471" s="117"/>
      <x:c r="F471" s="117"/>
      <x:c r="G471" s="117"/>
      <x:c r="H471" s="117"/>
      <x:c r="I471" s="117"/>
      <x:c r="J471" s="118"/>
      <x:c r="K471" s="140"/>
      <x:c r="L471" s="137" t="str">
        <x:f>IF(OR(J471="",K471=""),"",(K471-J471)*1440)</x:f>
      </x:c>
      <x:c r="M471" s="149"/>
      <x:c r="N471" s="150"/>
      <x:c r="O471" s="150"/>
      <x:c r="P471" s="150"/>
      <x:c r="Q471" s="151"/>
      <x:c r="R471" s="148" t="str">
        <x:f>IF(OR(Q471="",'Setup &amp; Lists'!$B$8=""),"",Q471*'Setup &amp; Lists'!$B$8)</x:f>
      </x:c>
      <x:c r="S471" s="115"/>
      <x:c r="T471" s="117"/>
      <x:c r="U471" s="119"/>
    </x:row>
    <x:row r="472">
      <x:c r="A472" s="139"/>
      <x:c r="B472" s="117"/>
      <x:c r="C472" s="117"/>
      <x:c r="D472" s="117"/>
      <x:c r="E472" s="117"/>
      <x:c r="F472" s="117"/>
      <x:c r="G472" s="117"/>
      <x:c r="H472" s="117"/>
      <x:c r="I472" s="117"/>
      <x:c r="J472" s="118"/>
      <x:c r="K472" s="140"/>
      <x:c r="L472" s="137" t="str">
        <x:f>IF(OR(J472="",K472=""),"",(K472-J472)*1440)</x:f>
      </x:c>
      <x:c r="M472" s="149"/>
      <x:c r="N472" s="150"/>
      <x:c r="O472" s="150"/>
      <x:c r="P472" s="150"/>
      <x:c r="Q472" s="151"/>
      <x:c r="R472" s="148" t="str">
        <x:f>IF(OR(Q472="",'Setup &amp; Lists'!$B$8=""),"",Q472*'Setup &amp; Lists'!$B$8)</x:f>
      </x:c>
      <x:c r="S472" s="115"/>
      <x:c r="T472" s="117"/>
      <x:c r="U472" s="119"/>
    </x:row>
    <x:row r="473">
      <x:c r="A473" s="139"/>
      <x:c r="B473" s="117"/>
      <x:c r="C473" s="117"/>
      <x:c r="D473" s="117"/>
      <x:c r="E473" s="117"/>
      <x:c r="F473" s="117"/>
      <x:c r="G473" s="117"/>
      <x:c r="H473" s="117"/>
      <x:c r="I473" s="117"/>
      <x:c r="J473" s="118"/>
      <x:c r="K473" s="140"/>
      <x:c r="L473" s="137" t="str">
        <x:f>IF(OR(J473="",K473=""),"",(K473-J473)*1440)</x:f>
      </x:c>
      <x:c r="M473" s="149"/>
      <x:c r="N473" s="150"/>
      <x:c r="O473" s="150"/>
      <x:c r="P473" s="150"/>
      <x:c r="Q473" s="151"/>
      <x:c r="R473" s="148" t="str">
        <x:f>IF(OR(Q473="",'Setup &amp; Lists'!$B$8=""),"",Q473*'Setup &amp; Lists'!$B$8)</x:f>
      </x:c>
      <x:c r="S473" s="115"/>
      <x:c r="T473" s="117"/>
      <x:c r="U473" s="119"/>
    </x:row>
    <x:row r="474">
      <x:c r="A474" s="139"/>
      <x:c r="B474" s="117"/>
      <x:c r="C474" s="117"/>
      <x:c r="D474" s="117"/>
      <x:c r="E474" s="117"/>
      <x:c r="F474" s="117"/>
      <x:c r="G474" s="117"/>
      <x:c r="H474" s="117"/>
      <x:c r="I474" s="117"/>
      <x:c r="J474" s="118"/>
      <x:c r="K474" s="140"/>
      <x:c r="L474" s="137" t="str">
        <x:f>IF(OR(J474="",K474=""),"",(K474-J474)*1440)</x:f>
      </x:c>
      <x:c r="M474" s="149"/>
      <x:c r="N474" s="150"/>
      <x:c r="O474" s="150"/>
      <x:c r="P474" s="150"/>
      <x:c r="Q474" s="151"/>
      <x:c r="R474" s="148" t="str">
        <x:f>IF(OR(Q474="",'Setup &amp; Lists'!$B$8=""),"",Q474*'Setup &amp; Lists'!$B$8)</x:f>
      </x:c>
      <x:c r="S474" s="115"/>
      <x:c r="T474" s="117"/>
      <x:c r="U474" s="119"/>
    </x:row>
    <x:row r="475">
      <x:c r="A475" s="139"/>
      <x:c r="B475" s="117"/>
      <x:c r="C475" s="117"/>
      <x:c r="D475" s="117"/>
      <x:c r="E475" s="117"/>
      <x:c r="F475" s="117"/>
      <x:c r="G475" s="117"/>
      <x:c r="H475" s="117"/>
      <x:c r="I475" s="117"/>
      <x:c r="J475" s="118"/>
      <x:c r="K475" s="140"/>
      <x:c r="L475" s="137" t="str">
        <x:f>IF(OR(J475="",K475=""),"",(K475-J475)*1440)</x:f>
      </x:c>
      <x:c r="M475" s="149"/>
      <x:c r="N475" s="150"/>
      <x:c r="O475" s="150"/>
      <x:c r="P475" s="150"/>
      <x:c r="Q475" s="151"/>
      <x:c r="R475" s="148" t="str">
        <x:f>IF(OR(Q475="",'Setup &amp; Lists'!$B$8=""),"",Q475*'Setup &amp; Lists'!$B$8)</x:f>
      </x:c>
      <x:c r="S475" s="115"/>
      <x:c r="T475" s="117"/>
      <x:c r="U475" s="119"/>
    </x:row>
    <x:row r="476">
      <x:c r="A476" s="139"/>
      <x:c r="B476" s="117"/>
      <x:c r="C476" s="117"/>
      <x:c r="D476" s="117"/>
      <x:c r="E476" s="117"/>
      <x:c r="F476" s="117"/>
      <x:c r="G476" s="117"/>
      <x:c r="H476" s="117"/>
      <x:c r="I476" s="117"/>
      <x:c r="J476" s="118"/>
      <x:c r="K476" s="140"/>
      <x:c r="L476" s="137" t="str">
        <x:f>IF(OR(J476="",K476=""),"",(K476-J476)*1440)</x:f>
      </x:c>
      <x:c r="M476" s="149"/>
      <x:c r="N476" s="150"/>
      <x:c r="O476" s="150"/>
      <x:c r="P476" s="150"/>
      <x:c r="Q476" s="151"/>
      <x:c r="R476" s="148" t="str">
        <x:f>IF(OR(Q476="",'Setup &amp; Lists'!$B$8=""),"",Q476*'Setup &amp; Lists'!$B$8)</x:f>
      </x:c>
      <x:c r="S476" s="115"/>
      <x:c r="T476" s="117"/>
      <x:c r="U476" s="119"/>
    </x:row>
    <x:row r="477">
      <x:c r="A477" s="139"/>
      <x:c r="B477" s="117"/>
      <x:c r="C477" s="117"/>
      <x:c r="D477" s="117"/>
      <x:c r="E477" s="117"/>
      <x:c r="F477" s="117"/>
      <x:c r="G477" s="117"/>
      <x:c r="H477" s="117"/>
      <x:c r="I477" s="117"/>
      <x:c r="J477" s="118"/>
      <x:c r="K477" s="140"/>
      <x:c r="L477" s="137" t="str">
        <x:f>IF(OR(J477="",K477=""),"",(K477-J477)*1440)</x:f>
      </x:c>
      <x:c r="M477" s="149"/>
      <x:c r="N477" s="150"/>
      <x:c r="O477" s="150"/>
      <x:c r="P477" s="150"/>
      <x:c r="Q477" s="151"/>
      <x:c r="R477" s="148" t="str">
        <x:f>IF(OR(Q477="",'Setup &amp; Lists'!$B$8=""),"",Q477*'Setup &amp; Lists'!$B$8)</x:f>
      </x:c>
      <x:c r="S477" s="115"/>
      <x:c r="T477" s="117"/>
      <x:c r="U477" s="119"/>
    </x:row>
    <x:row r="478">
      <x:c r="A478" s="139"/>
      <x:c r="B478" s="117"/>
      <x:c r="C478" s="117"/>
      <x:c r="D478" s="117"/>
      <x:c r="E478" s="117"/>
      <x:c r="F478" s="117"/>
      <x:c r="G478" s="117"/>
      <x:c r="H478" s="117"/>
      <x:c r="I478" s="117"/>
      <x:c r="J478" s="118"/>
      <x:c r="K478" s="140"/>
      <x:c r="L478" s="137" t="str">
        <x:f>IF(OR(J478="",K478=""),"",(K478-J478)*1440)</x:f>
      </x:c>
      <x:c r="M478" s="149"/>
      <x:c r="N478" s="150"/>
      <x:c r="O478" s="150"/>
      <x:c r="P478" s="150"/>
      <x:c r="Q478" s="151"/>
      <x:c r="R478" s="148" t="str">
        <x:f>IF(OR(Q478="",'Setup &amp; Lists'!$B$8=""),"",Q478*'Setup &amp; Lists'!$B$8)</x:f>
      </x:c>
      <x:c r="S478" s="115"/>
      <x:c r="T478" s="117"/>
      <x:c r="U478" s="119"/>
    </x:row>
    <x:row r="479">
      <x:c r="A479" s="139"/>
      <x:c r="B479" s="117"/>
      <x:c r="C479" s="117"/>
      <x:c r="D479" s="117"/>
      <x:c r="E479" s="117"/>
      <x:c r="F479" s="117"/>
      <x:c r="G479" s="117"/>
      <x:c r="H479" s="117"/>
      <x:c r="I479" s="117"/>
      <x:c r="J479" s="118"/>
      <x:c r="K479" s="140"/>
      <x:c r="L479" s="137" t="str">
        <x:f>IF(OR(J479="",K479=""),"",(K479-J479)*1440)</x:f>
      </x:c>
      <x:c r="M479" s="149"/>
      <x:c r="N479" s="150"/>
      <x:c r="O479" s="150"/>
      <x:c r="P479" s="150"/>
      <x:c r="Q479" s="151"/>
      <x:c r="R479" s="148" t="str">
        <x:f>IF(OR(Q479="",'Setup &amp; Lists'!$B$8=""),"",Q479*'Setup &amp; Lists'!$B$8)</x:f>
      </x:c>
      <x:c r="S479" s="115"/>
      <x:c r="T479" s="117"/>
      <x:c r="U479" s="119"/>
    </x:row>
    <x:row r="480">
      <x:c r="A480" s="139"/>
      <x:c r="B480" s="117"/>
      <x:c r="C480" s="117"/>
      <x:c r="D480" s="117"/>
      <x:c r="E480" s="117"/>
      <x:c r="F480" s="117"/>
      <x:c r="G480" s="117"/>
      <x:c r="H480" s="117"/>
      <x:c r="I480" s="117"/>
      <x:c r="J480" s="118"/>
      <x:c r="K480" s="140"/>
      <x:c r="L480" s="137" t="str">
        <x:f>IF(OR(J480="",K480=""),"",(K480-J480)*1440)</x:f>
      </x:c>
      <x:c r="M480" s="149"/>
      <x:c r="N480" s="150"/>
      <x:c r="O480" s="150"/>
      <x:c r="P480" s="150"/>
      <x:c r="Q480" s="151"/>
      <x:c r="R480" s="148" t="str">
        <x:f>IF(OR(Q480="",'Setup &amp; Lists'!$B$8=""),"",Q480*'Setup &amp; Lists'!$B$8)</x:f>
      </x:c>
      <x:c r="S480" s="115"/>
      <x:c r="T480" s="117"/>
      <x:c r="U480" s="119"/>
    </x:row>
    <x:row r="481">
      <x:c r="A481" s="139"/>
      <x:c r="B481" s="117"/>
      <x:c r="C481" s="117"/>
      <x:c r="D481" s="117"/>
      <x:c r="E481" s="117"/>
      <x:c r="F481" s="117"/>
      <x:c r="G481" s="117"/>
      <x:c r="H481" s="117"/>
      <x:c r="I481" s="117"/>
      <x:c r="J481" s="118"/>
      <x:c r="K481" s="140"/>
      <x:c r="L481" s="137" t="str">
        <x:f>IF(OR(J481="",K481=""),"",(K481-J481)*1440)</x:f>
      </x:c>
      <x:c r="M481" s="149"/>
      <x:c r="N481" s="150"/>
      <x:c r="O481" s="150"/>
      <x:c r="P481" s="150"/>
      <x:c r="Q481" s="151"/>
      <x:c r="R481" s="148" t="str">
        <x:f>IF(OR(Q481="",'Setup &amp; Lists'!$B$8=""),"",Q481*'Setup &amp; Lists'!$B$8)</x:f>
      </x:c>
      <x:c r="S481" s="115"/>
      <x:c r="T481" s="117"/>
      <x:c r="U481" s="119"/>
    </x:row>
    <x:row r="482">
      <x:c r="A482" s="139"/>
      <x:c r="B482" s="117"/>
      <x:c r="C482" s="117"/>
      <x:c r="D482" s="117"/>
      <x:c r="E482" s="117"/>
      <x:c r="F482" s="117"/>
      <x:c r="G482" s="117"/>
      <x:c r="H482" s="117"/>
      <x:c r="I482" s="117"/>
      <x:c r="J482" s="118"/>
      <x:c r="K482" s="140"/>
      <x:c r="L482" s="137" t="str">
        <x:f>IF(OR(J482="",K482=""),"",(K482-J482)*1440)</x:f>
      </x:c>
      <x:c r="M482" s="149"/>
      <x:c r="N482" s="150"/>
      <x:c r="O482" s="150"/>
      <x:c r="P482" s="150"/>
      <x:c r="Q482" s="151"/>
      <x:c r="R482" s="148" t="str">
        <x:f>IF(OR(Q482="",'Setup &amp; Lists'!$B$8=""),"",Q482*'Setup &amp; Lists'!$B$8)</x:f>
      </x:c>
      <x:c r="S482" s="115"/>
      <x:c r="T482" s="117"/>
      <x:c r="U482" s="119"/>
    </x:row>
    <x:row r="483">
      <x:c r="A483" s="139"/>
      <x:c r="B483" s="117"/>
      <x:c r="C483" s="117"/>
      <x:c r="D483" s="117"/>
      <x:c r="E483" s="117"/>
      <x:c r="F483" s="117"/>
      <x:c r="G483" s="117"/>
      <x:c r="H483" s="117"/>
      <x:c r="I483" s="117"/>
      <x:c r="J483" s="118"/>
      <x:c r="K483" s="140"/>
      <x:c r="L483" s="137" t="str">
        <x:f>IF(OR(J483="",K483=""),"",(K483-J483)*1440)</x:f>
      </x:c>
      <x:c r="M483" s="149"/>
      <x:c r="N483" s="150"/>
      <x:c r="O483" s="150"/>
      <x:c r="P483" s="150"/>
      <x:c r="Q483" s="151"/>
      <x:c r="R483" s="148" t="str">
        <x:f>IF(OR(Q483="",'Setup &amp; Lists'!$B$8=""),"",Q483*'Setup &amp; Lists'!$B$8)</x:f>
      </x:c>
      <x:c r="S483" s="115"/>
      <x:c r="T483" s="117"/>
      <x:c r="U483" s="119"/>
    </x:row>
    <x:row r="484">
      <x:c r="A484" s="139"/>
      <x:c r="B484" s="117"/>
      <x:c r="C484" s="117"/>
      <x:c r="D484" s="117"/>
      <x:c r="E484" s="117"/>
      <x:c r="F484" s="117"/>
      <x:c r="G484" s="117"/>
      <x:c r="H484" s="117"/>
      <x:c r="I484" s="117"/>
      <x:c r="J484" s="118"/>
      <x:c r="K484" s="140"/>
      <x:c r="L484" s="137" t="str">
        <x:f>IF(OR(J484="",K484=""),"",(K484-J484)*1440)</x:f>
      </x:c>
      <x:c r="M484" s="149"/>
      <x:c r="N484" s="150"/>
      <x:c r="O484" s="150"/>
      <x:c r="P484" s="150"/>
      <x:c r="Q484" s="151"/>
      <x:c r="R484" s="148" t="str">
        <x:f>IF(OR(Q484="",'Setup &amp; Lists'!$B$8=""),"",Q484*'Setup &amp; Lists'!$B$8)</x:f>
      </x:c>
      <x:c r="S484" s="115"/>
      <x:c r="T484" s="117"/>
      <x:c r="U484" s="119"/>
    </x:row>
    <x:row r="485">
      <x:c r="A485" s="139"/>
      <x:c r="B485" s="117"/>
      <x:c r="C485" s="117"/>
      <x:c r="D485" s="117"/>
      <x:c r="E485" s="117"/>
      <x:c r="F485" s="117"/>
      <x:c r="G485" s="117"/>
      <x:c r="H485" s="117"/>
      <x:c r="I485" s="117"/>
      <x:c r="J485" s="118"/>
      <x:c r="K485" s="140"/>
      <x:c r="L485" s="137" t="str">
        <x:f>IF(OR(J485="",K485=""),"",(K485-J485)*1440)</x:f>
      </x:c>
      <x:c r="M485" s="149"/>
      <x:c r="N485" s="150"/>
      <x:c r="O485" s="150"/>
      <x:c r="P485" s="150"/>
      <x:c r="Q485" s="151"/>
      <x:c r="R485" s="148" t="str">
        <x:f>IF(OR(Q485="",'Setup &amp; Lists'!$B$8=""),"",Q485*'Setup &amp; Lists'!$B$8)</x:f>
      </x:c>
      <x:c r="S485" s="115"/>
      <x:c r="T485" s="117"/>
      <x:c r="U485" s="119"/>
    </x:row>
    <x:row r="486">
      <x:c r="A486" s="139"/>
      <x:c r="B486" s="117"/>
      <x:c r="C486" s="117"/>
      <x:c r="D486" s="117"/>
      <x:c r="E486" s="117"/>
      <x:c r="F486" s="117"/>
      <x:c r="G486" s="117"/>
      <x:c r="H486" s="117"/>
      <x:c r="I486" s="117"/>
      <x:c r="J486" s="118"/>
      <x:c r="K486" s="140"/>
      <x:c r="L486" s="137" t="str">
        <x:f>IF(OR(J486="",K486=""),"",(K486-J486)*1440)</x:f>
      </x:c>
      <x:c r="M486" s="149"/>
      <x:c r="N486" s="150"/>
      <x:c r="O486" s="150"/>
      <x:c r="P486" s="150"/>
      <x:c r="Q486" s="151"/>
      <x:c r="R486" s="148" t="str">
        <x:f>IF(OR(Q486="",'Setup &amp; Lists'!$B$8=""),"",Q486*'Setup &amp; Lists'!$B$8)</x:f>
      </x:c>
      <x:c r="S486" s="115"/>
      <x:c r="T486" s="117"/>
      <x:c r="U486" s="119"/>
    </x:row>
    <x:row r="487">
      <x:c r="A487" s="139"/>
      <x:c r="B487" s="117"/>
      <x:c r="C487" s="117"/>
      <x:c r="D487" s="117"/>
      <x:c r="E487" s="117"/>
      <x:c r="F487" s="117"/>
      <x:c r="G487" s="117"/>
      <x:c r="H487" s="117"/>
      <x:c r="I487" s="117"/>
      <x:c r="J487" s="118"/>
      <x:c r="K487" s="140"/>
      <x:c r="L487" s="137" t="str">
        <x:f>IF(OR(J487="",K487=""),"",(K487-J487)*1440)</x:f>
      </x:c>
      <x:c r="M487" s="149"/>
      <x:c r="N487" s="150"/>
      <x:c r="O487" s="150"/>
      <x:c r="P487" s="150"/>
      <x:c r="Q487" s="151"/>
      <x:c r="R487" s="148" t="str">
        <x:f>IF(OR(Q487="",'Setup &amp; Lists'!$B$8=""),"",Q487*'Setup &amp; Lists'!$B$8)</x:f>
      </x:c>
      <x:c r="S487" s="115"/>
      <x:c r="T487" s="117"/>
      <x:c r="U487" s="119"/>
    </x:row>
    <x:row r="488">
      <x:c r="A488" s="139"/>
      <x:c r="B488" s="117"/>
      <x:c r="C488" s="117"/>
      <x:c r="D488" s="117"/>
      <x:c r="E488" s="117"/>
      <x:c r="F488" s="117"/>
      <x:c r="G488" s="117"/>
      <x:c r="H488" s="117"/>
      <x:c r="I488" s="117"/>
      <x:c r="J488" s="118"/>
      <x:c r="K488" s="140"/>
      <x:c r="L488" s="137" t="str">
        <x:f>IF(OR(J488="",K488=""),"",(K488-J488)*1440)</x:f>
      </x:c>
      <x:c r="M488" s="149"/>
      <x:c r="N488" s="150"/>
      <x:c r="O488" s="150"/>
      <x:c r="P488" s="150"/>
      <x:c r="Q488" s="151"/>
      <x:c r="R488" s="148" t="str">
        <x:f>IF(OR(Q488="",'Setup &amp; Lists'!$B$8=""),"",Q488*'Setup &amp; Lists'!$B$8)</x:f>
      </x:c>
      <x:c r="S488" s="115"/>
      <x:c r="T488" s="117"/>
      <x:c r="U488" s="119"/>
    </x:row>
    <x:row r="489">
      <x:c r="A489" s="139"/>
      <x:c r="B489" s="117"/>
      <x:c r="C489" s="117"/>
      <x:c r="D489" s="117"/>
      <x:c r="E489" s="117"/>
      <x:c r="F489" s="117"/>
      <x:c r="G489" s="117"/>
      <x:c r="H489" s="117"/>
      <x:c r="I489" s="117"/>
      <x:c r="J489" s="118"/>
      <x:c r="K489" s="140"/>
      <x:c r="L489" s="137" t="str">
        <x:f>IF(OR(J489="",K489=""),"",(K489-J489)*1440)</x:f>
      </x:c>
      <x:c r="M489" s="149"/>
      <x:c r="N489" s="150"/>
      <x:c r="O489" s="150"/>
      <x:c r="P489" s="150"/>
      <x:c r="Q489" s="151"/>
      <x:c r="R489" s="148" t="str">
        <x:f>IF(OR(Q489="",'Setup &amp; Lists'!$B$8=""),"",Q489*'Setup &amp; Lists'!$B$8)</x:f>
      </x:c>
      <x:c r="S489" s="115"/>
      <x:c r="T489" s="117"/>
      <x:c r="U489" s="119"/>
    </x:row>
    <x:row r="490">
      <x:c r="A490" s="139"/>
      <x:c r="B490" s="117"/>
      <x:c r="C490" s="117"/>
      <x:c r="D490" s="117"/>
      <x:c r="E490" s="117"/>
      <x:c r="F490" s="117"/>
      <x:c r="G490" s="117"/>
      <x:c r="H490" s="117"/>
      <x:c r="I490" s="117"/>
      <x:c r="J490" s="118"/>
      <x:c r="K490" s="140"/>
      <x:c r="L490" s="137" t="str">
        <x:f>IF(OR(J490="",K490=""),"",(K490-J490)*1440)</x:f>
      </x:c>
      <x:c r="M490" s="149"/>
      <x:c r="N490" s="150"/>
      <x:c r="O490" s="150"/>
      <x:c r="P490" s="150"/>
      <x:c r="Q490" s="151"/>
      <x:c r="R490" s="148" t="str">
        <x:f>IF(OR(Q490="",'Setup &amp; Lists'!$B$8=""),"",Q490*'Setup &amp; Lists'!$B$8)</x:f>
      </x:c>
      <x:c r="S490" s="115"/>
      <x:c r="T490" s="117"/>
      <x:c r="U490" s="119"/>
    </x:row>
    <x:row r="491">
      <x:c r="A491" s="139"/>
      <x:c r="B491" s="117"/>
      <x:c r="C491" s="117"/>
      <x:c r="D491" s="117"/>
      <x:c r="E491" s="117"/>
      <x:c r="F491" s="117"/>
      <x:c r="G491" s="117"/>
      <x:c r="H491" s="117"/>
      <x:c r="I491" s="117"/>
      <x:c r="J491" s="118"/>
      <x:c r="K491" s="140"/>
      <x:c r="L491" s="137" t="str">
        <x:f>IF(OR(J491="",K491=""),"",(K491-J491)*1440)</x:f>
      </x:c>
      <x:c r="M491" s="149"/>
      <x:c r="N491" s="150"/>
      <x:c r="O491" s="150"/>
      <x:c r="P491" s="150"/>
      <x:c r="Q491" s="151"/>
      <x:c r="R491" s="148" t="str">
        <x:f>IF(OR(Q491="",'Setup &amp; Lists'!$B$8=""),"",Q491*'Setup &amp; Lists'!$B$8)</x:f>
      </x:c>
      <x:c r="S491" s="115"/>
      <x:c r="T491" s="117"/>
      <x:c r="U491" s="119"/>
    </x:row>
    <x:row r="492">
      <x:c r="A492" s="139"/>
      <x:c r="B492" s="117"/>
      <x:c r="C492" s="117"/>
      <x:c r="D492" s="117"/>
      <x:c r="E492" s="117"/>
      <x:c r="F492" s="117"/>
      <x:c r="G492" s="117"/>
      <x:c r="H492" s="117"/>
      <x:c r="I492" s="117"/>
      <x:c r="J492" s="118"/>
      <x:c r="K492" s="140"/>
      <x:c r="L492" s="137" t="str">
        <x:f>IF(OR(J492="",K492=""),"",(K492-J492)*1440)</x:f>
      </x:c>
      <x:c r="M492" s="149"/>
      <x:c r="N492" s="150"/>
      <x:c r="O492" s="150"/>
      <x:c r="P492" s="150"/>
      <x:c r="Q492" s="151"/>
      <x:c r="R492" s="148" t="str">
        <x:f>IF(OR(Q492="",'Setup &amp; Lists'!$B$8=""),"",Q492*'Setup &amp; Lists'!$B$8)</x:f>
      </x:c>
      <x:c r="S492" s="115"/>
      <x:c r="T492" s="117"/>
      <x:c r="U492" s="119"/>
    </x:row>
    <x:row r="493">
      <x:c r="A493" s="139"/>
      <x:c r="B493" s="117"/>
      <x:c r="C493" s="117"/>
      <x:c r="D493" s="117"/>
      <x:c r="E493" s="117"/>
      <x:c r="F493" s="117"/>
      <x:c r="G493" s="117"/>
      <x:c r="H493" s="117"/>
      <x:c r="I493" s="117"/>
      <x:c r="J493" s="118"/>
      <x:c r="K493" s="140"/>
      <x:c r="L493" s="137" t="str">
        <x:f>IF(OR(J493="",K493=""),"",(K493-J493)*1440)</x:f>
      </x:c>
      <x:c r="M493" s="149"/>
      <x:c r="N493" s="150"/>
      <x:c r="O493" s="150"/>
      <x:c r="P493" s="150"/>
      <x:c r="Q493" s="151"/>
      <x:c r="R493" s="148" t="str">
        <x:f>IF(OR(Q493="",'Setup &amp; Lists'!$B$8=""),"",Q493*'Setup &amp; Lists'!$B$8)</x:f>
      </x:c>
      <x:c r="S493" s="115"/>
      <x:c r="T493" s="117"/>
      <x:c r="U493" s="119"/>
    </x:row>
    <x:row r="494">
      <x:c r="A494" s="139"/>
      <x:c r="B494" s="117"/>
      <x:c r="C494" s="117"/>
      <x:c r="D494" s="117"/>
      <x:c r="E494" s="117"/>
      <x:c r="F494" s="117"/>
      <x:c r="G494" s="117"/>
      <x:c r="H494" s="117"/>
      <x:c r="I494" s="117"/>
      <x:c r="J494" s="118"/>
      <x:c r="K494" s="140"/>
      <x:c r="L494" s="137" t="str">
        <x:f>IF(OR(J494="",K494=""),"",(K494-J494)*1440)</x:f>
      </x:c>
      <x:c r="M494" s="149"/>
      <x:c r="N494" s="150"/>
      <x:c r="O494" s="150"/>
      <x:c r="P494" s="150"/>
      <x:c r="Q494" s="151"/>
      <x:c r="R494" s="148" t="str">
        <x:f>IF(OR(Q494="",'Setup &amp; Lists'!$B$8=""),"",Q494*'Setup &amp; Lists'!$B$8)</x:f>
      </x:c>
      <x:c r="S494" s="115"/>
      <x:c r="T494" s="117"/>
      <x:c r="U494" s="119"/>
    </x:row>
    <x:row r="495">
      <x:c r="A495" s="139"/>
      <x:c r="B495" s="117"/>
      <x:c r="C495" s="117"/>
      <x:c r="D495" s="117"/>
      <x:c r="E495" s="117"/>
      <x:c r="F495" s="117"/>
      <x:c r="G495" s="117"/>
      <x:c r="H495" s="117"/>
      <x:c r="I495" s="117"/>
      <x:c r="J495" s="118"/>
      <x:c r="K495" s="140"/>
      <x:c r="L495" s="137" t="str">
        <x:f>IF(OR(J495="",K495=""),"",(K495-J495)*1440)</x:f>
      </x:c>
      <x:c r="M495" s="149"/>
      <x:c r="N495" s="150"/>
      <x:c r="O495" s="150"/>
      <x:c r="P495" s="150"/>
      <x:c r="Q495" s="151"/>
      <x:c r="R495" s="148" t="str">
        <x:f>IF(OR(Q495="",'Setup &amp; Lists'!$B$8=""),"",Q495*'Setup &amp; Lists'!$B$8)</x:f>
      </x:c>
      <x:c r="S495" s="115"/>
      <x:c r="T495" s="117"/>
      <x:c r="U495" s="119"/>
    </x:row>
    <x:row r="496">
      <x:c r="A496" s="139"/>
      <x:c r="B496" s="117"/>
      <x:c r="C496" s="117"/>
      <x:c r="D496" s="117"/>
      <x:c r="E496" s="117"/>
      <x:c r="F496" s="117"/>
      <x:c r="G496" s="117"/>
      <x:c r="H496" s="117"/>
      <x:c r="I496" s="117"/>
      <x:c r="J496" s="118"/>
      <x:c r="K496" s="140"/>
      <x:c r="L496" s="137" t="str">
        <x:f>IF(OR(J496="",K496=""),"",(K496-J496)*1440)</x:f>
      </x:c>
      <x:c r="M496" s="149"/>
      <x:c r="N496" s="150"/>
      <x:c r="O496" s="150"/>
      <x:c r="P496" s="150"/>
      <x:c r="Q496" s="151"/>
      <x:c r="R496" s="148" t="str">
        <x:f>IF(OR(Q496="",'Setup &amp; Lists'!$B$8=""),"",Q496*'Setup &amp; Lists'!$B$8)</x:f>
      </x:c>
      <x:c r="S496" s="115"/>
      <x:c r="T496" s="117"/>
      <x:c r="U496" s="119"/>
    </x:row>
    <x:row r="497">
      <x:c r="A497" s="139"/>
      <x:c r="B497" s="117"/>
      <x:c r="C497" s="117"/>
      <x:c r="D497" s="117"/>
      <x:c r="E497" s="117"/>
      <x:c r="F497" s="117"/>
      <x:c r="G497" s="117"/>
      <x:c r="H497" s="117"/>
      <x:c r="I497" s="117"/>
      <x:c r="J497" s="118"/>
      <x:c r="K497" s="140"/>
      <x:c r="L497" s="137" t="str">
        <x:f>IF(OR(J497="",K497=""),"",(K497-J497)*1440)</x:f>
      </x:c>
      <x:c r="M497" s="149"/>
      <x:c r="N497" s="150"/>
      <x:c r="O497" s="150"/>
      <x:c r="P497" s="150"/>
      <x:c r="Q497" s="151"/>
      <x:c r="R497" s="148" t="str">
        <x:f>IF(OR(Q497="",'Setup &amp; Lists'!$B$8=""),"",Q497*'Setup &amp; Lists'!$B$8)</x:f>
      </x:c>
      <x:c r="S497" s="115"/>
      <x:c r="T497" s="117"/>
      <x:c r="U497" s="119"/>
    </x:row>
    <x:row r="498">
      <x:c r="A498" s="139"/>
      <x:c r="B498" s="117"/>
      <x:c r="C498" s="117"/>
      <x:c r="D498" s="117"/>
      <x:c r="E498" s="117"/>
      <x:c r="F498" s="117"/>
      <x:c r="G498" s="117"/>
      <x:c r="H498" s="117"/>
      <x:c r="I498" s="117"/>
      <x:c r="J498" s="118"/>
      <x:c r="K498" s="140"/>
      <x:c r="L498" s="137" t="str">
        <x:f>IF(OR(J498="",K498=""),"",(K498-J498)*1440)</x:f>
      </x:c>
      <x:c r="M498" s="149"/>
      <x:c r="N498" s="150"/>
      <x:c r="O498" s="150"/>
      <x:c r="P498" s="150"/>
      <x:c r="Q498" s="151"/>
      <x:c r="R498" s="148" t="str">
        <x:f>IF(OR(Q498="",'Setup &amp; Lists'!$B$8=""),"",Q498*'Setup &amp; Lists'!$B$8)</x:f>
      </x:c>
      <x:c r="S498" s="115"/>
      <x:c r="T498" s="117"/>
      <x:c r="U498" s="119"/>
    </x:row>
    <x:row r="499">
      <x:c r="A499" s="139"/>
      <x:c r="B499" s="117"/>
      <x:c r="C499" s="117"/>
      <x:c r="D499" s="117"/>
      <x:c r="E499" s="117"/>
      <x:c r="F499" s="117"/>
      <x:c r="G499" s="117"/>
      <x:c r="H499" s="117"/>
      <x:c r="I499" s="117"/>
      <x:c r="J499" s="118"/>
      <x:c r="K499" s="140"/>
      <x:c r="L499" s="137" t="str">
        <x:f>IF(OR(J499="",K499=""),"",(K499-J499)*1440)</x:f>
      </x:c>
      <x:c r="M499" s="149"/>
      <x:c r="N499" s="150"/>
      <x:c r="O499" s="150"/>
      <x:c r="P499" s="150"/>
      <x:c r="Q499" s="151"/>
      <x:c r="R499" s="148" t="str">
        <x:f>IF(OR(Q499="",'Setup &amp; Lists'!$B$8=""),"",Q499*'Setup &amp; Lists'!$B$8)</x:f>
      </x:c>
      <x:c r="S499" s="115"/>
      <x:c r="T499" s="117"/>
      <x:c r="U499" s="119"/>
    </x:row>
    <x:row r="500">
      <x:c r="A500" s="139"/>
      <x:c r="B500" s="117"/>
      <x:c r="C500" s="117"/>
      <x:c r="D500" s="117"/>
      <x:c r="E500" s="117"/>
      <x:c r="F500" s="117"/>
      <x:c r="G500" s="117"/>
      <x:c r="H500" s="117"/>
      <x:c r="I500" s="117"/>
      <x:c r="J500" s="118"/>
      <x:c r="K500" s="140"/>
      <x:c r="L500" s="137" t="str">
        <x:f>IF(OR(J500="",K500=""),"",(K500-J500)*1440)</x:f>
      </x:c>
      <x:c r="M500" s="149"/>
      <x:c r="N500" s="150"/>
      <x:c r="O500" s="150"/>
      <x:c r="P500" s="150"/>
      <x:c r="Q500" s="151"/>
      <x:c r="R500" s="148" t="str">
        <x:f>IF(OR(Q500="",'Setup &amp; Lists'!$B$8=""),"",Q500*'Setup &amp; Lists'!$B$8)</x:f>
      </x:c>
      <x:c r="S500" s="115"/>
      <x:c r="T500" s="117"/>
      <x:c r="U500" s="119"/>
    </x:row>
    <x:row r="501">
      <x:c r="A501" s="139"/>
      <x:c r="B501" s="117"/>
      <x:c r="C501" s="117"/>
      <x:c r="D501" s="117"/>
      <x:c r="E501" s="117"/>
      <x:c r="F501" s="117"/>
      <x:c r="G501" s="117"/>
      <x:c r="H501" s="117"/>
      <x:c r="I501" s="117"/>
      <x:c r="J501" s="118"/>
      <x:c r="K501" s="140"/>
      <x:c r="L501" s="137" t="str">
        <x:f>IF(OR(J501="",K501=""),"",(K501-J501)*1440)</x:f>
      </x:c>
      <x:c r="M501" s="149"/>
      <x:c r="N501" s="150"/>
      <x:c r="O501" s="150"/>
      <x:c r="P501" s="150"/>
      <x:c r="Q501" s="151"/>
      <x:c r="R501" s="148" t="str">
        <x:f>IF(OR(Q501="",'Setup &amp; Lists'!$B$8=""),"",Q501*'Setup &amp; Lists'!$B$8)</x:f>
      </x:c>
      <x:c r="S501" s="115"/>
      <x:c r="T501" s="117"/>
      <x:c r="U501" s="119"/>
    </x:row>
    <x:row r="502">
      <x:c r="A502" s="139"/>
      <x:c r="B502" s="117"/>
      <x:c r="C502" s="117"/>
      <x:c r="D502" s="117"/>
      <x:c r="E502" s="117"/>
      <x:c r="F502" s="117"/>
      <x:c r="G502" s="117"/>
      <x:c r="H502" s="117"/>
      <x:c r="I502" s="117"/>
      <x:c r="J502" s="118"/>
      <x:c r="K502" s="140"/>
      <x:c r="L502" s="137" t="str">
        <x:f>IF(OR(J502="",K502=""),"",(K502-J502)*1440)</x:f>
      </x:c>
      <x:c r="M502" s="149"/>
      <x:c r="N502" s="150"/>
      <x:c r="O502" s="150"/>
      <x:c r="P502" s="150"/>
      <x:c r="Q502" s="151"/>
      <x:c r="R502" s="148" t="str">
        <x:f>IF(OR(Q502="",'Setup &amp; Lists'!$B$8=""),"",Q502*'Setup &amp; Lists'!$B$8)</x:f>
      </x:c>
      <x:c r="S502" s="115"/>
      <x:c r="T502" s="117"/>
      <x:c r="U502" s="119"/>
    </x:row>
    <x:row r="503">
      <x:c r="A503" s="142"/>
      <x:c r="B503" s="127"/>
      <x:c r="C503" s="127"/>
      <x:c r="D503" s="127"/>
      <x:c r="E503" s="127"/>
      <x:c r="F503" s="127"/>
      <x:c r="G503" s="127"/>
      <x:c r="H503" s="127"/>
      <x:c r="I503" s="127"/>
      <x:c r="J503" s="128"/>
      <x:c r="K503" s="143"/>
      <x:c r="L503" s="137" t="str">
        <x:f>IF(OR(J503="",K503=""),"",(K503-J503)*1440)</x:f>
      </x:c>
      <x:c r="M503" s="152"/>
      <x:c r="N503" s="153"/>
      <x:c r="O503" s="153"/>
      <x:c r="P503" s="153"/>
      <x:c r="Q503" s="154"/>
      <x:c r="R503" s="148" t="str">
        <x:f>IF(OR(Q503="",'Setup &amp; Lists'!$B$8=""),"",Q503*'Setup &amp; Lists'!$B$8)</x:f>
      </x:c>
      <x:c r="S503" s="125"/>
      <x:c r="T503" s="127"/>
      <x:c r="U503" s="129"/>
    </x:row>
  </x:sheetData>
  <x:mergeCells>
    <x:mergeCell ref="A1:U1"/>
    <x:mergeCell ref="A2:U2"/>
  </x:mergeCells>
  <x:dataValidations count="6">
    <x:dataValidation type="list" sqref="C4:C503">
      <x:formula1>'Setup &amp; Lists'!$A$16:$A$20</x:formula1>
    </x:dataValidation>
    <x:dataValidation type="list" sqref="D4:D503">
      <x:formula1>'Setup &amp; Lists'!$D$16:$D$18</x:formula1>
    </x:dataValidation>
    <x:dataValidation type="list" sqref="E4:E503">
      <x:formula1>'Setup &amp; Lists'!$E$16:$E$18</x:formula1>
    </x:dataValidation>
    <x:dataValidation type="list" sqref="F4:F503">
      <x:formula1>'Setup &amp; Lists'!$F$16:$F$19</x:formula1>
    </x:dataValidation>
    <x:dataValidation type="list" sqref="G4:G503">
      <x:formula1>'Setup &amp; Lists'!$G$16:$G$18</x:formula1>
    </x:dataValidation>
    <x:dataValidation type="list" sqref="S4:T503">
      <x:formula1>'Setup &amp; Lists'!$K$16:$K$18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9cd2e72cd647b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3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8" hidden="0" customWidth="1"/>
    <x:col min="13" max="13" width="38" hidden="0" customWidth="1"/>
  </x:cols>
  <x:sheetData>
    <x:row r="1" ht="34" customHeight="1">
      <x:c r="A1" s="93" t="str">
        <x:v>COST LOG</x:v>
      </x:c>
      <x:c r="B1" s="93" t="str">
        <x:v>COST LOG</x:v>
      </x:c>
      <x:c r="C1" s="93" t="str">
        <x:v>COST LOG</x:v>
      </x:c>
      <x:c r="D1" s="93" t="str">
        <x:v>COST LOG</x:v>
      </x:c>
      <x:c r="E1" s="93" t="str">
        <x:v>COST LOG</x:v>
      </x:c>
      <x:c r="F1" s="93" t="str">
        <x:v>COST LOG</x:v>
      </x:c>
      <x:c r="G1" s="93" t="str">
        <x:v>COST LOG</x:v>
      </x:c>
      <x:c r="H1" s="93" t="str">
        <x:v>COST LOG</x:v>
      </x:c>
      <x:c r="I1" s="93" t="str">
        <x:v>COST LOG</x:v>
      </x:c>
      <x:c r="J1" s="93" t="str">
        <x:v>COST LOG</x:v>
      </x:c>
      <x:c r="K1" s="93" t="str">
        <x:v>COST LOG</x:v>
      </x:c>
      <x:c r="L1" s="93" t="str">
        <x:v>COST LOG</x:v>
      </x:c>
      <x:c r="M1" s="93" t="str">
        <x:v>COST LOG</x:v>
      </x:c>
    </x:row>
    <x:row r="2" ht="30" customHeight="1">
      <x:c r="A2" s="95" t="str">
        <x:v>Ghi cash cost, economic cost và credited resources riêng biệt. Amount VND được tính theo tỷ giá trong Setup.</x:v>
      </x:c>
      <x:c r="B2" s="95" t="str">
        <x:v>Ghi cash cost, economic cost và credited resources riêng biệt. Amount VND được tính theo tỷ giá trong Setup.</x:v>
      </x:c>
      <x:c r="C2" s="95" t="str">
        <x:v>Ghi cash cost, economic cost và credited resources riêng biệt. Amount VND được tính theo tỷ giá trong Setup.</x:v>
      </x:c>
      <x:c r="D2" s="95" t="str">
        <x:v>Ghi cash cost, economic cost và credited resources riêng biệt. Amount VND được tính theo tỷ giá trong Setup.</x:v>
      </x:c>
      <x:c r="E2" s="95" t="str">
        <x:v>Ghi cash cost, economic cost và credited resources riêng biệt. Amount VND được tính theo tỷ giá trong Setup.</x:v>
      </x:c>
      <x:c r="F2" s="95" t="str">
        <x:v>Ghi cash cost, economic cost và credited resources riêng biệt. Amount VND được tính theo tỷ giá trong Setup.</x:v>
      </x:c>
      <x:c r="G2" s="95" t="str">
        <x:v>Ghi cash cost, economic cost và credited resources riêng biệt. Amount VND được tính theo tỷ giá trong Setup.</x:v>
      </x:c>
      <x:c r="H2" s="95" t="str">
        <x:v>Ghi cash cost, economic cost và credited resources riêng biệt. Amount VND được tính theo tỷ giá trong Setup.</x:v>
      </x:c>
      <x:c r="I2" s="95" t="str">
        <x:v>Ghi cash cost, economic cost và credited resources riêng biệt. Amount VND được tính theo tỷ giá trong Setup.</x:v>
      </x:c>
      <x:c r="J2" s="95" t="str">
        <x:v>Ghi cash cost, economic cost và credited resources riêng biệt. Amount VND được tính theo tỷ giá trong Setup.</x:v>
      </x:c>
      <x:c r="K2" s="95" t="str">
        <x:v>Ghi cash cost, economic cost và credited resources riêng biệt. Amount VND được tính theo tỷ giá trong Setup.</x:v>
      </x:c>
      <x:c r="L2" s="95" t="str">
        <x:v>Ghi cash cost, economic cost và credited resources riêng biệt. Amount VND được tính theo tỷ giá trong Setup.</x:v>
      </x:c>
      <x:c r="M2" s="95" t="str">
        <x:v>Ghi cash cost, economic cost và credited resources riêng biệt. Amount VND được tính theo tỷ giá trong Setup.</x:v>
      </x:c>
    </x:row>
    <x:row r="3" ht="36" customHeight="1">
      <x:c r="A3" s="96" t="str">
        <x:v>Date</x:v>
      </x:c>
      <x:c r="B3" s="96" t="str">
        <x:v>Category</x:v>
      </x:c>
      <x:c r="C3" s="96" t="str">
        <x:v>Provider</x:v>
      </x:c>
      <x:c r="D3" s="96" t="str">
        <x:v>Description</x:v>
      </x:c>
      <x:c r="E3" s="96" t="str">
        <x:v>Cost Type</x:v>
      </x:c>
      <x:c r="F3" s="96" t="str">
        <x:v>Currency</x:v>
      </x:c>
      <x:c r="G3" s="96" t="str">
        <x:v>Amount</x:v>
      </x:c>
      <x:c r="H3" s="96" t="str">
        <x:v>FX to VND</x:v>
      </x:c>
      <x:c r="I3" s="96" t="str">
        <x:v>Amount VND</x:v>
      </x:c>
      <x:c r="J3" s="96" t="str">
        <x:v>Allocation</x:v>
      </x:c>
      <x:c r="K3" s="96" t="str">
        <x:v>Story ID</x:v>
      </x:c>
      <x:c r="L3" s="96" t="str">
        <x:v>Evidence URL</x:v>
      </x:c>
      <x:c r="M3" s="96" t="str">
        <x:v>Notes</x:v>
      </x:c>
    </x:row>
    <x:row r="4">
      <x:c r="A4" s="135"/>
      <x:c r="B4" s="106"/>
      <x:c r="C4" s="106"/>
      <x:c r="D4" s="106"/>
      <x:c r="E4" s="106"/>
      <x:c r="F4" s="106"/>
      <x:c r="G4" s="155"/>
      <x:c r="H4" s="156" t="str">
        <x:f>IF(F4="","",IF(F4="VND",1,IF(F4="USD",'Setup &amp; Lists'!$B$8,"")))</x:f>
      </x:c>
      <x:c r="I4" s="156" t="str">
        <x:f>IF(OR(G4="",H4=""),"",G4*H4)</x:f>
      </x:c>
      <x:c r="J4" s="104"/>
      <x:c r="K4" s="106"/>
      <x:c r="L4" s="106"/>
      <x:c r="M4" s="108"/>
    </x:row>
    <x:row r="5">
      <x:c r="A5" s="139"/>
      <x:c r="B5" s="117"/>
      <x:c r="C5" s="117"/>
      <x:c r="D5" s="117"/>
      <x:c r="E5" s="117"/>
      <x:c r="F5" s="117"/>
      <x:c r="G5" s="157"/>
      <x:c r="H5" s="156" t="str">
        <x:f>IF(F5="","",IF(F5="VND",1,IF(F5="USD",'Setup &amp; Lists'!$B$8,"")))</x:f>
      </x:c>
      <x:c r="I5" s="156" t="str">
        <x:f>IF(OR(G5="",H5=""),"",G5*H5)</x:f>
      </x:c>
      <x:c r="J5" s="115"/>
      <x:c r="K5" s="117"/>
      <x:c r="L5" s="117"/>
      <x:c r="M5" s="119"/>
    </x:row>
    <x:row r="6">
      <x:c r="A6" s="139"/>
      <x:c r="B6" s="117"/>
      <x:c r="C6" s="117"/>
      <x:c r="D6" s="117"/>
      <x:c r="E6" s="117"/>
      <x:c r="F6" s="117"/>
      <x:c r="G6" s="157"/>
      <x:c r="H6" s="156" t="str">
        <x:f>IF(F6="","",IF(F6="VND",1,IF(F6="USD",'Setup &amp; Lists'!$B$8,"")))</x:f>
      </x:c>
      <x:c r="I6" s="156" t="str">
        <x:f>IF(OR(G6="",H6=""),"",G6*H6)</x:f>
      </x:c>
      <x:c r="J6" s="115"/>
      <x:c r="K6" s="117"/>
      <x:c r="L6" s="117"/>
      <x:c r="M6" s="119"/>
    </x:row>
    <x:row r="7">
      <x:c r="A7" s="139"/>
      <x:c r="B7" s="117"/>
      <x:c r="C7" s="117"/>
      <x:c r="D7" s="117"/>
      <x:c r="E7" s="117"/>
      <x:c r="F7" s="117"/>
      <x:c r="G7" s="157"/>
      <x:c r="H7" s="156" t="str">
        <x:f>IF(F7="","",IF(F7="VND",1,IF(F7="USD",'Setup &amp; Lists'!$B$8,"")))</x:f>
      </x:c>
      <x:c r="I7" s="156" t="str">
        <x:f>IF(OR(G7="",H7=""),"",G7*H7)</x:f>
      </x:c>
      <x:c r="J7" s="115"/>
      <x:c r="K7" s="117"/>
      <x:c r="L7" s="117"/>
      <x:c r="M7" s="119"/>
    </x:row>
    <x:row r="8">
      <x:c r="A8" s="139"/>
      <x:c r="B8" s="117"/>
      <x:c r="C8" s="117"/>
      <x:c r="D8" s="117"/>
      <x:c r="E8" s="117"/>
      <x:c r="F8" s="117"/>
      <x:c r="G8" s="157"/>
      <x:c r="H8" s="156" t="str">
        <x:f>IF(F8="","",IF(F8="VND",1,IF(F8="USD",'Setup &amp; Lists'!$B$8,"")))</x:f>
      </x:c>
      <x:c r="I8" s="156" t="str">
        <x:f>IF(OR(G8="",H8=""),"",G8*H8)</x:f>
      </x:c>
      <x:c r="J8" s="115"/>
      <x:c r="K8" s="117"/>
      <x:c r="L8" s="117"/>
      <x:c r="M8" s="119"/>
    </x:row>
    <x:row r="9">
      <x:c r="A9" s="139"/>
      <x:c r="B9" s="117"/>
      <x:c r="C9" s="117"/>
      <x:c r="D9" s="117"/>
      <x:c r="E9" s="117"/>
      <x:c r="F9" s="117"/>
      <x:c r="G9" s="157"/>
      <x:c r="H9" s="156" t="str">
        <x:f>IF(F9="","",IF(F9="VND",1,IF(F9="USD",'Setup &amp; Lists'!$B$8,"")))</x:f>
      </x:c>
      <x:c r="I9" s="156" t="str">
        <x:f>IF(OR(G9="",H9=""),"",G9*H9)</x:f>
      </x:c>
      <x:c r="J9" s="115"/>
      <x:c r="K9" s="117"/>
      <x:c r="L9" s="117"/>
      <x:c r="M9" s="119"/>
    </x:row>
    <x:row r="10">
      <x:c r="A10" s="139"/>
      <x:c r="B10" s="117"/>
      <x:c r="C10" s="117"/>
      <x:c r="D10" s="117"/>
      <x:c r="E10" s="117"/>
      <x:c r="F10" s="117"/>
      <x:c r="G10" s="157"/>
      <x:c r="H10" s="156" t="str">
        <x:f>IF(F10="","",IF(F10="VND",1,IF(F10="USD",'Setup &amp; Lists'!$B$8,"")))</x:f>
      </x:c>
      <x:c r="I10" s="156" t="str">
        <x:f>IF(OR(G10="",H10=""),"",G10*H10)</x:f>
      </x:c>
      <x:c r="J10" s="115"/>
      <x:c r="K10" s="117"/>
      <x:c r="L10" s="117"/>
      <x:c r="M10" s="119"/>
    </x:row>
    <x:row r="11">
      <x:c r="A11" s="139"/>
      <x:c r="B11" s="117"/>
      <x:c r="C11" s="117"/>
      <x:c r="D11" s="117"/>
      <x:c r="E11" s="117"/>
      <x:c r="F11" s="117"/>
      <x:c r="G11" s="157"/>
      <x:c r="H11" s="156" t="str">
        <x:f>IF(F11="","",IF(F11="VND",1,IF(F11="USD",'Setup &amp; Lists'!$B$8,"")))</x:f>
      </x:c>
      <x:c r="I11" s="156" t="str">
        <x:f>IF(OR(G11="",H11=""),"",G11*H11)</x:f>
      </x:c>
      <x:c r="J11" s="115"/>
      <x:c r="K11" s="117"/>
      <x:c r="L11" s="117"/>
      <x:c r="M11" s="119"/>
    </x:row>
    <x:row r="12">
      <x:c r="A12" s="139"/>
      <x:c r="B12" s="117"/>
      <x:c r="C12" s="117"/>
      <x:c r="D12" s="117"/>
      <x:c r="E12" s="117"/>
      <x:c r="F12" s="117"/>
      <x:c r="G12" s="157"/>
      <x:c r="H12" s="156" t="str">
        <x:f>IF(F12="","",IF(F12="VND",1,IF(F12="USD",'Setup &amp; Lists'!$B$8,"")))</x:f>
      </x:c>
      <x:c r="I12" s="156" t="str">
        <x:f>IF(OR(G12="",H12=""),"",G12*H12)</x:f>
      </x:c>
      <x:c r="J12" s="115"/>
      <x:c r="K12" s="117"/>
      <x:c r="L12" s="117"/>
      <x:c r="M12" s="119"/>
    </x:row>
    <x:row r="13">
      <x:c r="A13" s="139"/>
      <x:c r="B13" s="117"/>
      <x:c r="C13" s="117"/>
      <x:c r="D13" s="117"/>
      <x:c r="E13" s="117"/>
      <x:c r="F13" s="117"/>
      <x:c r="G13" s="157"/>
      <x:c r="H13" s="156" t="str">
        <x:f>IF(F13="","",IF(F13="VND",1,IF(F13="USD",'Setup &amp; Lists'!$B$8,"")))</x:f>
      </x:c>
      <x:c r="I13" s="156" t="str">
        <x:f>IF(OR(G13="",H13=""),"",G13*H13)</x:f>
      </x:c>
      <x:c r="J13" s="115"/>
      <x:c r="K13" s="117"/>
      <x:c r="L13" s="117"/>
      <x:c r="M13" s="119"/>
    </x:row>
    <x:row r="14">
      <x:c r="A14" s="139"/>
      <x:c r="B14" s="117"/>
      <x:c r="C14" s="117"/>
      <x:c r="D14" s="117"/>
      <x:c r="E14" s="117"/>
      <x:c r="F14" s="117"/>
      <x:c r="G14" s="157"/>
      <x:c r="H14" s="156" t="str">
        <x:f>IF(F14="","",IF(F14="VND",1,IF(F14="USD",'Setup &amp; Lists'!$B$8,"")))</x:f>
      </x:c>
      <x:c r="I14" s="156" t="str">
        <x:f>IF(OR(G14="",H14=""),"",G14*H14)</x:f>
      </x:c>
      <x:c r="J14" s="115"/>
      <x:c r="K14" s="117"/>
      <x:c r="L14" s="117"/>
      <x:c r="M14" s="119"/>
    </x:row>
    <x:row r="15">
      <x:c r="A15" s="139"/>
      <x:c r="B15" s="117"/>
      <x:c r="C15" s="117"/>
      <x:c r="D15" s="117"/>
      <x:c r="E15" s="117"/>
      <x:c r="F15" s="117"/>
      <x:c r="G15" s="157"/>
      <x:c r="H15" s="156" t="str">
        <x:f>IF(F15="","",IF(F15="VND",1,IF(F15="USD",'Setup &amp; Lists'!$B$8,"")))</x:f>
      </x:c>
      <x:c r="I15" s="156" t="str">
        <x:f>IF(OR(G15="",H15=""),"",G15*H15)</x:f>
      </x:c>
      <x:c r="J15" s="115"/>
      <x:c r="K15" s="117"/>
      <x:c r="L15" s="117"/>
      <x:c r="M15" s="119"/>
    </x:row>
    <x:row r="16">
      <x:c r="A16" s="139"/>
      <x:c r="B16" s="117"/>
      <x:c r="C16" s="117"/>
      <x:c r="D16" s="117"/>
      <x:c r="E16" s="117"/>
      <x:c r="F16" s="117"/>
      <x:c r="G16" s="157"/>
      <x:c r="H16" s="156" t="str">
        <x:f>IF(F16="","",IF(F16="VND",1,IF(F16="USD",'Setup &amp; Lists'!$B$8,"")))</x:f>
      </x:c>
      <x:c r="I16" s="156" t="str">
        <x:f>IF(OR(G16="",H16=""),"",G16*H16)</x:f>
      </x:c>
      <x:c r="J16" s="115"/>
      <x:c r="K16" s="117"/>
      <x:c r="L16" s="117"/>
      <x:c r="M16" s="119"/>
    </x:row>
    <x:row r="17">
      <x:c r="A17" s="139"/>
      <x:c r="B17" s="117"/>
      <x:c r="C17" s="117"/>
      <x:c r="D17" s="117"/>
      <x:c r="E17" s="117"/>
      <x:c r="F17" s="117"/>
      <x:c r="G17" s="157"/>
      <x:c r="H17" s="156" t="str">
        <x:f>IF(F17="","",IF(F17="VND",1,IF(F17="USD",'Setup &amp; Lists'!$B$8,"")))</x:f>
      </x:c>
      <x:c r="I17" s="156" t="str">
        <x:f>IF(OR(G17="",H17=""),"",G17*H17)</x:f>
      </x:c>
      <x:c r="J17" s="115"/>
      <x:c r="K17" s="117"/>
      <x:c r="L17" s="117"/>
      <x:c r="M17" s="119"/>
    </x:row>
    <x:row r="18">
      <x:c r="A18" s="139"/>
      <x:c r="B18" s="117"/>
      <x:c r="C18" s="117"/>
      <x:c r="D18" s="117"/>
      <x:c r="E18" s="117"/>
      <x:c r="F18" s="117"/>
      <x:c r="G18" s="157"/>
      <x:c r="H18" s="156" t="str">
        <x:f>IF(F18="","",IF(F18="VND",1,IF(F18="USD",'Setup &amp; Lists'!$B$8,"")))</x:f>
      </x:c>
      <x:c r="I18" s="156" t="str">
        <x:f>IF(OR(G18="",H18=""),"",G18*H18)</x:f>
      </x:c>
      <x:c r="J18" s="115"/>
      <x:c r="K18" s="117"/>
      <x:c r="L18" s="117"/>
      <x:c r="M18" s="119"/>
    </x:row>
    <x:row r="19">
      <x:c r="A19" s="139"/>
      <x:c r="B19" s="117"/>
      <x:c r="C19" s="117"/>
      <x:c r="D19" s="117"/>
      <x:c r="E19" s="117"/>
      <x:c r="F19" s="117"/>
      <x:c r="G19" s="157"/>
      <x:c r="H19" s="156" t="str">
        <x:f>IF(F19="","",IF(F19="VND",1,IF(F19="USD",'Setup &amp; Lists'!$B$8,"")))</x:f>
      </x:c>
      <x:c r="I19" s="156" t="str">
        <x:f>IF(OR(G19="",H19=""),"",G19*H19)</x:f>
      </x:c>
      <x:c r="J19" s="115"/>
      <x:c r="K19" s="117"/>
      <x:c r="L19" s="117"/>
      <x:c r="M19" s="119"/>
    </x:row>
    <x:row r="20">
      <x:c r="A20" s="139"/>
      <x:c r="B20" s="117"/>
      <x:c r="C20" s="117"/>
      <x:c r="D20" s="117"/>
      <x:c r="E20" s="117"/>
      <x:c r="F20" s="117"/>
      <x:c r="G20" s="157"/>
      <x:c r="H20" s="156" t="str">
        <x:f>IF(F20="","",IF(F20="VND",1,IF(F20="USD",'Setup &amp; Lists'!$B$8,"")))</x:f>
      </x:c>
      <x:c r="I20" s="156" t="str">
        <x:f>IF(OR(G20="",H20=""),"",G20*H20)</x:f>
      </x:c>
      <x:c r="J20" s="115"/>
      <x:c r="K20" s="117"/>
      <x:c r="L20" s="117"/>
      <x:c r="M20" s="119"/>
    </x:row>
    <x:row r="21">
      <x:c r="A21" s="139"/>
      <x:c r="B21" s="117"/>
      <x:c r="C21" s="117"/>
      <x:c r="D21" s="117"/>
      <x:c r="E21" s="117"/>
      <x:c r="F21" s="117"/>
      <x:c r="G21" s="157"/>
      <x:c r="H21" s="156" t="str">
        <x:f>IF(F21="","",IF(F21="VND",1,IF(F21="USD",'Setup &amp; Lists'!$B$8,"")))</x:f>
      </x:c>
      <x:c r="I21" s="156" t="str">
        <x:f>IF(OR(G21="",H21=""),"",G21*H21)</x:f>
      </x:c>
      <x:c r="J21" s="115"/>
      <x:c r="K21" s="117"/>
      <x:c r="L21" s="117"/>
      <x:c r="M21" s="119"/>
    </x:row>
    <x:row r="22">
      <x:c r="A22" s="139"/>
      <x:c r="B22" s="117"/>
      <x:c r="C22" s="117"/>
      <x:c r="D22" s="117"/>
      <x:c r="E22" s="117"/>
      <x:c r="F22" s="117"/>
      <x:c r="G22" s="157"/>
      <x:c r="H22" s="156" t="str">
        <x:f>IF(F22="","",IF(F22="VND",1,IF(F22="USD",'Setup &amp; Lists'!$B$8,"")))</x:f>
      </x:c>
      <x:c r="I22" s="156" t="str">
        <x:f>IF(OR(G22="",H22=""),"",G22*H22)</x:f>
      </x:c>
      <x:c r="J22" s="115"/>
      <x:c r="K22" s="117"/>
      <x:c r="L22" s="117"/>
      <x:c r="M22" s="119"/>
    </x:row>
    <x:row r="23">
      <x:c r="A23" s="139"/>
      <x:c r="B23" s="117"/>
      <x:c r="C23" s="117"/>
      <x:c r="D23" s="117"/>
      <x:c r="E23" s="117"/>
      <x:c r="F23" s="117"/>
      <x:c r="G23" s="157"/>
      <x:c r="H23" s="156" t="str">
        <x:f>IF(F23="","",IF(F23="VND",1,IF(F23="USD",'Setup &amp; Lists'!$B$8,"")))</x:f>
      </x:c>
      <x:c r="I23" s="156" t="str">
        <x:f>IF(OR(G23="",H23=""),"",G23*H23)</x:f>
      </x:c>
      <x:c r="J23" s="115"/>
      <x:c r="K23" s="117"/>
      <x:c r="L23" s="117"/>
      <x:c r="M23" s="119"/>
    </x:row>
    <x:row r="24">
      <x:c r="A24" s="139"/>
      <x:c r="B24" s="117"/>
      <x:c r="C24" s="117"/>
      <x:c r="D24" s="117"/>
      <x:c r="E24" s="117"/>
      <x:c r="F24" s="117"/>
      <x:c r="G24" s="157"/>
      <x:c r="H24" s="156" t="str">
        <x:f>IF(F24="","",IF(F24="VND",1,IF(F24="USD",'Setup &amp; Lists'!$B$8,"")))</x:f>
      </x:c>
      <x:c r="I24" s="156" t="str">
        <x:f>IF(OR(G24="",H24=""),"",G24*H24)</x:f>
      </x:c>
      <x:c r="J24" s="115"/>
      <x:c r="K24" s="117"/>
      <x:c r="L24" s="117"/>
      <x:c r="M24" s="119"/>
    </x:row>
    <x:row r="25">
      <x:c r="A25" s="139"/>
      <x:c r="B25" s="117"/>
      <x:c r="C25" s="117"/>
      <x:c r="D25" s="117"/>
      <x:c r="E25" s="117"/>
      <x:c r="F25" s="117"/>
      <x:c r="G25" s="157"/>
      <x:c r="H25" s="156" t="str">
        <x:f>IF(F25="","",IF(F25="VND",1,IF(F25="USD",'Setup &amp; Lists'!$B$8,"")))</x:f>
      </x:c>
      <x:c r="I25" s="156" t="str">
        <x:f>IF(OR(G25="",H25=""),"",G25*H25)</x:f>
      </x:c>
      <x:c r="J25" s="115"/>
      <x:c r="K25" s="117"/>
      <x:c r="L25" s="117"/>
      <x:c r="M25" s="119"/>
    </x:row>
    <x:row r="26">
      <x:c r="A26" s="139"/>
      <x:c r="B26" s="117"/>
      <x:c r="C26" s="117"/>
      <x:c r="D26" s="117"/>
      <x:c r="E26" s="117"/>
      <x:c r="F26" s="117"/>
      <x:c r="G26" s="157"/>
      <x:c r="H26" s="156" t="str">
        <x:f>IF(F26="","",IF(F26="VND",1,IF(F26="USD",'Setup &amp; Lists'!$B$8,"")))</x:f>
      </x:c>
      <x:c r="I26" s="156" t="str">
        <x:f>IF(OR(G26="",H26=""),"",G26*H26)</x:f>
      </x:c>
      <x:c r="J26" s="115"/>
      <x:c r="K26" s="117"/>
      <x:c r="L26" s="117"/>
      <x:c r="M26" s="119"/>
    </x:row>
    <x:row r="27">
      <x:c r="A27" s="139"/>
      <x:c r="B27" s="117"/>
      <x:c r="C27" s="117"/>
      <x:c r="D27" s="117"/>
      <x:c r="E27" s="117"/>
      <x:c r="F27" s="117"/>
      <x:c r="G27" s="157"/>
      <x:c r="H27" s="156" t="str">
        <x:f>IF(F27="","",IF(F27="VND",1,IF(F27="USD",'Setup &amp; Lists'!$B$8,"")))</x:f>
      </x:c>
      <x:c r="I27" s="156" t="str">
        <x:f>IF(OR(G27="",H27=""),"",G27*H27)</x:f>
      </x:c>
      <x:c r="J27" s="115"/>
      <x:c r="K27" s="117"/>
      <x:c r="L27" s="117"/>
      <x:c r="M27" s="119"/>
    </x:row>
    <x:row r="28">
      <x:c r="A28" s="139"/>
      <x:c r="B28" s="117"/>
      <x:c r="C28" s="117"/>
      <x:c r="D28" s="117"/>
      <x:c r="E28" s="117"/>
      <x:c r="F28" s="117"/>
      <x:c r="G28" s="157"/>
      <x:c r="H28" s="156" t="str">
        <x:f>IF(F28="","",IF(F28="VND",1,IF(F28="USD",'Setup &amp; Lists'!$B$8,"")))</x:f>
      </x:c>
      <x:c r="I28" s="156" t="str">
        <x:f>IF(OR(G28="",H28=""),"",G28*H28)</x:f>
      </x:c>
      <x:c r="J28" s="115"/>
      <x:c r="K28" s="117"/>
      <x:c r="L28" s="117"/>
      <x:c r="M28" s="119"/>
    </x:row>
    <x:row r="29">
      <x:c r="A29" s="139"/>
      <x:c r="B29" s="117"/>
      <x:c r="C29" s="117"/>
      <x:c r="D29" s="117"/>
      <x:c r="E29" s="117"/>
      <x:c r="F29" s="117"/>
      <x:c r="G29" s="157"/>
      <x:c r="H29" s="156" t="str">
        <x:f>IF(F29="","",IF(F29="VND",1,IF(F29="USD",'Setup &amp; Lists'!$B$8,"")))</x:f>
      </x:c>
      <x:c r="I29" s="156" t="str">
        <x:f>IF(OR(G29="",H29=""),"",G29*H29)</x:f>
      </x:c>
      <x:c r="J29" s="115"/>
      <x:c r="K29" s="117"/>
      <x:c r="L29" s="117"/>
      <x:c r="M29" s="119"/>
    </x:row>
    <x:row r="30">
      <x:c r="A30" s="139"/>
      <x:c r="B30" s="117"/>
      <x:c r="C30" s="117"/>
      <x:c r="D30" s="117"/>
      <x:c r="E30" s="117"/>
      <x:c r="F30" s="117"/>
      <x:c r="G30" s="157"/>
      <x:c r="H30" s="156" t="str">
        <x:f>IF(F30="","",IF(F30="VND",1,IF(F30="USD",'Setup &amp; Lists'!$B$8,"")))</x:f>
      </x:c>
      <x:c r="I30" s="156" t="str">
        <x:f>IF(OR(G30="",H30=""),"",G30*H30)</x:f>
      </x:c>
      <x:c r="J30" s="115"/>
      <x:c r="K30" s="117"/>
      <x:c r="L30" s="117"/>
      <x:c r="M30" s="119"/>
    </x:row>
    <x:row r="31">
      <x:c r="A31" s="139"/>
      <x:c r="B31" s="117"/>
      <x:c r="C31" s="117"/>
      <x:c r="D31" s="117"/>
      <x:c r="E31" s="117"/>
      <x:c r="F31" s="117"/>
      <x:c r="G31" s="157"/>
      <x:c r="H31" s="156" t="str">
        <x:f>IF(F31="","",IF(F31="VND",1,IF(F31="USD",'Setup &amp; Lists'!$B$8,"")))</x:f>
      </x:c>
      <x:c r="I31" s="156" t="str">
        <x:f>IF(OR(G31="",H31=""),"",G31*H31)</x:f>
      </x:c>
      <x:c r="J31" s="115"/>
      <x:c r="K31" s="117"/>
      <x:c r="L31" s="117"/>
      <x:c r="M31" s="119"/>
    </x:row>
    <x:row r="32">
      <x:c r="A32" s="139"/>
      <x:c r="B32" s="117"/>
      <x:c r="C32" s="117"/>
      <x:c r="D32" s="117"/>
      <x:c r="E32" s="117"/>
      <x:c r="F32" s="117"/>
      <x:c r="G32" s="157"/>
      <x:c r="H32" s="156" t="str">
        <x:f>IF(F32="","",IF(F32="VND",1,IF(F32="USD",'Setup &amp; Lists'!$B$8,"")))</x:f>
      </x:c>
      <x:c r="I32" s="156" t="str">
        <x:f>IF(OR(G32="",H32=""),"",G32*H32)</x:f>
      </x:c>
      <x:c r="J32" s="115"/>
      <x:c r="K32" s="117"/>
      <x:c r="L32" s="117"/>
      <x:c r="M32" s="119"/>
    </x:row>
    <x:row r="33">
      <x:c r="A33" s="139"/>
      <x:c r="B33" s="117"/>
      <x:c r="C33" s="117"/>
      <x:c r="D33" s="117"/>
      <x:c r="E33" s="117"/>
      <x:c r="F33" s="117"/>
      <x:c r="G33" s="157"/>
      <x:c r="H33" s="156" t="str">
        <x:f>IF(F33="","",IF(F33="VND",1,IF(F33="USD",'Setup &amp; Lists'!$B$8,"")))</x:f>
      </x:c>
      <x:c r="I33" s="156" t="str">
        <x:f>IF(OR(G33="",H33=""),"",G33*H33)</x:f>
      </x:c>
      <x:c r="J33" s="115"/>
      <x:c r="K33" s="117"/>
      <x:c r="L33" s="117"/>
      <x:c r="M33" s="119"/>
    </x:row>
    <x:row r="34">
      <x:c r="A34" s="139"/>
      <x:c r="B34" s="117"/>
      <x:c r="C34" s="117"/>
      <x:c r="D34" s="117"/>
      <x:c r="E34" s="117"/>
      <x:c r="F34" s="117"/>
      <x:c r="G34" s="157"/>
      <x:c r="H34" s="156" t="str">
        <x:f>IF(F34="","",IF(F34="VND",1,IF(F34="USD",'Setup &amp; Lists'!$B$8,"")))</x:f>
      </x:c>
      <x:c r="I34" s="156" t="str">
        <x:f>IF(OR(G34="",H34=""),"",G34*H34)</x:f>
      </x:c>
      <x:c r="J34" s="115"/>
      <x:c r="K34" s="117"/>
      <x:c r="L34" s="117"/>
      <x:c r="M34" s="119"/>
    </x:row>
    <x:row r="35">
      <x:c r="A35" s="139"/>
      <x:c r="B35" s="117"/>
      <x:c r="C35" s="117"/>
      <x:c r="D35" s="117"/>
      <x:c r="E35" s="117"/>
      <x:c r="F35" s="117"/>
      <x:c r="G35" s="157"/>
      <x:c r="H35" s="156" t="str">
        <x:f>IF(F35="","",IF(F35="VND",1,IF(F35="USD",'Setup &amp; Lists'!$B$8,"")))</x:f>
      </x:c>
      <x:c r="I35" s="156" t="str">
        <x:f>IF(OR(G35="",H35=""),"",G35*H35)</x:f>
      </x:c>
      <x:c r="J35" s="115"/>
      <x:c r="K35" s="117"/>
      <x:c r="L35" s="117"/>
      <x:c r="M35" s="119"/>
    </x:row>
    <x:row r="36">
      <x:c r="A36" s="139"/>
      <x:c r="B36" s="117"/>
      <x:c r="C36" s="117"/>
      <x:c r="D36" s="117"/>
      <x:c r="E36" s="117"/>
      <x:c r="F36" s="117"/>
      <x:c r="G36" s="157"/>
      <x:c r="H36" s="156" t="str">
        <x:f>IF(F36="","",IF(F36="VND",1,IF(F36="USD",'Setup &amp; Lists'!$B$8,"")))</x:f>
      </x:c>
      <x:c r="I36" s="156" t="str">
        <x:f>IF(OR(G36="",H36=""),"",G36*H36)</x:f>
      </x:c>
      <x:c r="J36" s="115"/>
      <x:c r="K36" s="117"/>
      <x:c r="L36" s="117"/>
      <x:c r="M36" s="119"/>
    </x:row>
    <x:row r="37">
      <x:c r="A37" s="139"/>
      <x:c r="B37" s="117"/>
      <x:c r="C37" s="117"/>
      <x:c r="D37" s="117"/>
      <x:c r="E37" s="117"/>
      <x:c r="F37" s="117"/>
      <x:c r="G37" s="157"/>
      <x:c r="H37" s="156" t="str">
        <x:f>IF(F37="","",IF(F37="VND",1,IF(F37="USD",'Setup &amp; Lists'!$B$8,"")))</x:f>
      </x:c>
      <x:c r="I37" s="156" t="str">
        <x:f>IF(OR(G37="",H37=""),"",G37*H37)</x:f>
      </x:c>
      <x:c r="J37" s="115"/>
      <x:c r="K37" s="117"/>
      <x:c r="L37" s="117"/>
      <x:c r="M37" s="119"/>
    </x:row>
    <x:row r="38">
      <x:c r="A38" s="139"/>
      <x:c r="B38" s="117"/>
      <x:c r="C38" s="117"/>
      <x:c r="D38" s="117"/>
      <x:c r="E38" s="117"/>
      <x:c r="F38" s="117"/>
      <x:c r="G38" s="157"/>
      <x:c r="H38" s="156" t="str">
        <x:f>IF(F38="","",IF(F38="VND",1,IF(F38="USD",'Setup &amp; Lists'!$B$8,"")))</x:f>
      </x:c>
      <x:c r="I38" s="156" t="str">
        <x:f>IF(OR(G38="",H38=""),"",G38*H38)</x:f>
      </x:c>
      <x:c r="J38" s="115"/>
      <x:c r="K38" s="117"/>
      <x:c r="L38" s="117"/>
      <x:c r="M38" s="119"/>
    </x:row>
    <x:row r="39">
      <x:c r="A39" s="139"/>
      <x:c r="B39" s="117"/>
      <x:c r="C39" s="117"/>
      <x:c r="D39" s="117"/>
      <x:c r="E39" s="117"/>
      <x:c r="F39" s="117"/>
      <x:c r="G39" s="157"/>
      <x:c r="H39" s="156" t="str">
        <x:f>IF(F39="","",IF(F39="VND",1,IF(F39="USD",'Setup &amp; Lists'!$B$8,"")))</x:f>
      </x:c>
      <x:c r="I39" s="156" t="str">
        <x:f>IF(OR(G39="",H39=""),"",G39*H39)</x:f>
      </x:c>
      <x:c r="J39" s="115"/>
      <x:c r="K39" s="117"/>
      <x:c r="L39" s="117"/>
      <x:c r="M39" s="119"/>
    </x:row>
    <x:row r="40">
      <x:c r="A40" s="139"/>
      <x:c r="B40" s="117"/>
      <x:c r="C40" s="117"/>
      <x:c r="D40" s="117"/>
      <x:c r="E40" s="117"/>
      <x:c r="F40" s="117"/>
      <x:c r="G40" s="157"/>
      <x:c r="H40" s="156" t="str">
        <x:f>IF(F40="","",IF(F40="VND",1,IF(F40="USD",'Setup &amp; Lists'!$B$8,"")))</x:f>
      </x:c>
      <x:c r="I40" s="156" t="str">
        <x:f>IF(OR(G40="",H40=""),"",G40*H40)</x:f>
      </x:c>
      <x:c r="J40" s="115"/>
      <x:c r="K40" s="117"/>
      <x:c r="L40" s="117"/>
      <x:c r="M40" s="119"/>
    </x:row>
    <x:row r="41">
      <x:c r="A41" s="139"/>
      <x:c r="B41" s="117"/>
      <x:c r="C41" s="117"/>
      <x:c r="D41" s="117"/>
      <x:c r="E41" s="117"/>
      <x:c r="F41" s="117"/>
      <x:c r="G41" s="157"/>
      <x:c r="H41" s="156" t="str">
        <x:f>IF(F41="","",IF(F41="VND",1,IF(F41="USD",'Setup &amp; Lists'!$B$8,"")))</x:f>
      </x:c>
      <x:c r="I41" s="156" t="str">
        <x:f>IF(OR(G41="",H41=""),"",G41*H41)</x:f>
      </x:c>
      <x:c r="J41" s="115"/>
      <x:c r="K41" s="117"/>
      <x:c r="L41" s="117"/>
      <x:c r="M41" s="119"/>
    </x:row>
    <x:row r="42">
      <x:c r="A42" s="139"/>
      <x:c r="B42" s="117"/>
      <x:c r="C42" s="117"/>
      <x:c r="D42" s="117"/>
      <x:c r="E42" s="117"/>
      <x:c r="F42" s="117"/>
      <x:c r="G42" s="157"/>
      <x:c r="H42" s="156" t="str">
        <x:f>IF(F42="","",IF(F42="VND",1,IF(F42="USD",'Setup &amp; Lists'!$B$8,"")))</x:f>
      </x:c>
      <x:c r="I42" s="156" t="str">
        <x:f>IF(OR(G42="",H42=""),"",G42*H42)</x:f>
      </x:c>
      <x:c r="J42" s="115"/>
      <x:c r="K42" s="117"/>
      <x:c r="L42" s="117"/>
      <x:c r="M42" s="119"/>
    </x:row>
    <x:row r="43">
      <x:c r="A43" s="139"/>
      <x:c r="B43" s="117"/>
      <x:c r="C43" s="117"/>
      <x:c r="D43" s="117"/>
      <x:c r="E43" s="117"/>
      <x:c r="F43" s="117"/>
      <x:c r="G43" s="157"/>
      <x:c r="H43" s="156" t="str">
        <x:f>IF(F43="","",IF(F43="VND",1,IF(F43="USD",'Setup &amp; Lists'!$B$8,"")))</x:f>
      </x:c>
      <x:c r="I43" s="156" t="str">
        <x:f>IF(OR(G43="",H43=""),"",G43*H43)</x:f>
      </x:c>
      <x:c r="J43" s="115"/>
      <x:c r="K43" s="117"/>
      <x:c r="L43" s="117"/>
      <x:c r="M43" s="119"/>
    </x:row>
    <x:row r="44">
      <x:c r="A44" s="139"/>
      <x:c r="B44" s="117"/>
      <x:c r="C44" s="117"/>
      <x:c r="D44" s="117"/>
      <x:c r="E44" s="117"/>
      <x:c r="F44" s="117"/>
      <x:c r="G44" s="157"/>
      <x:c r="H44" s="156" t="str">
        <x:f>IF(F44="","",IF(F44="VND",1,IF(F44="USD",'Setup &amp; Lists'!$B$8,"")))</x:f>
      </x:c>
      <x:c r="I44" s="156" t="str">
        <x:f>IF(OR(G44="",H44=""),"",G44*H44)</x:f>
      </x:c>
      <x:c r="J44" s="115"/>
      <x:c r="K44" s="117"/>
      <x:c r="L44" s="117"/>
      <x:c r="M44" s="119"/>
    </x:row>
    <x:row r="45">
      <x:c r="A45" s="139"/>
      <x:c r="B45" s="117"/>
      <x:c r="C45" s="117"/>
      <x:c r="D45" s="117"/>
      <x:c r="E45" s="117"/>
      <x:c r="F45" s="117"/>
      <x:c r="G45" s="157"/>
      <x:c r="H45" s="156" t="str">
        <x:f>IF(F45="","",IF(F45="VND",1,IF(F45="USD",'Setup &amp; Lists'!$B$8,"")))</x:f>
      </x:c>
      <x:c r="I45" s="156" t="str">
        <x:f>IF(OR(G45="",H45=""),"",G45*H45)</x:f>
      </x:c>
      <x:c r="J45" s="115"/>
      <x:c r="K45" s="117"/>
      <x:c r="L45" s="117"/>
      <x:c r="M45" s="119"/>
    </x:row>
    <x:row r="46">
      <x:c r="A46" s="139"/>
      <x:c r="B46" s="117"/>
      <x:c r="C46" s="117"/>
      <x:c r="D46" s="117"/>
      <x:c r="E46" s="117"/>
      <x:c r="F46" s="117"/>
      <x:c r="G46" s="157"/>
      <x:c r="H46" s="156" t="str">
        <x:f>IF(F46="","",IF(F46="VND",1,IF(F46="USD",'Setup &amp; Lists'!$B$8,"")))</x:f>
      </x:c>
      <x:c r="I46" s="156" t="str">
        <x:f>IF(OR(G46="",H46=""),"",G46*H46)</x:f>
      </x:c>
      <x:c r="J46" s="115"/>
      <x:c r="K46" s="117"/>
      <x:c r="L46" s="117"/>
      <x:c r="M46" s="119"/>
    </x:row>
    <x:row r="47">
      <x:c r="A47" s="139"/>
      <x:c r="B47" s="117"/>
      <x:c r="C47" s="117"/>
      <x:c r="D47" s="117"/>
      <x:c r="E47" s="117"/>
      <x:c r="F47" s="117"/>
      <x:c r="G47" s="157"/>
      <x:c r="H47" s="156" t="str">
        <x:f>IF(F47="","",IF(F47="VND",1,IF(F47="USD",'Setup &amp; Lists'!$B$8,"")))</x:f>
      </x:c>
      <x:c r="I47" s="156" t="str">
        <x:f>IF(OR(G47="",H47=""),"",G47*H47)</x:f>
      </x:c>
      <x:c r="J47" s="115"/>
      <x:c r="K47" s="117"/>
      <x:c r="L47" s="117"/>
      <x:c r="M47" s="119"/>
    </x:row>
    <x:row r="48">
      <x:c r="A48" s="139"/>
      <x:c r="B48" s="117"/>
      <x:c r="C48" s="117"/>
      <x:c r="D48" s="117"/>
      <x:c r="E48" s="117"/>
      <x:c r="F48" s="117"/>
      <x:c r="G48" s="157"/>
      <x:c r="H48" s="156" t="str">
        <x:f>IF(F48="","",IF(F48="VND",1,IF(F48="USD",'Setup &amp; Lists'!$B$8,"")))</x:f>
      </x:c>
      <x:c r="I48" s="156" t="str">
        <x:f>IF(OR(G48="",H48=""),"",G48*H48)</x:f>
      </x:c>
      <x:c r="J48" s="115"/>
      <x:c r="K48" s="117"/>
      <x:c r="L48" s="117"/>
      <x:c r="M48" s="119"/>
    </x:row>
    <x:row r="49">
      <x:c r="A49" s="139"/>
      <x:c r="B49" s="117"/>
      <x:c r="C49" s="117"/>
      <x:c r="D49" s="117"/>
      <x:c r="E49" s="117"/>
      <x:c r="F49" s="117"/>
      <x:c r="G49" s="157"/>
      <x:c r="H49" s="156" t="str">
        <x:f>IF(F49="","",IF(F49="VND",1,IF(F49="USD",'Setup &amp; Lists'!$B$8,"")))</x:f>
      </x:c>
      <x:c r="I49" s="156" t="str">
        <x:f>IF(OR(G49="",H49=""),"",G49*H49)</x:f>
      </x:c>
      <x:c r="J49" s="115"/>
      <x:c r="K49" s="117"/>
      <x:c r="L49" s="117"/>
      <x:c r="M49" s="119"/>
    </x:row>
    <x:row r="50">
      <x:c r="A50" s="139"/>
      <x:c r="B50" s="117"/>
      <x:c r="C50" s="117"/>
      <x:c r="D50" s="117"/>
      <x:c r="E50" s="117"/>
      <x:c r="F50" s="117"/>
      <x:c r="G50" s="157"/>
      <x:c r="H50" s="156" t="str">
        <x:f>IF(F50="","",IF(F50="VND",1,IF(F50="USD",'Setup &amp; Lists'!$B$8,"")))</x:f>
      </x:c>
      <x:c r="I50" s="156" t="str">
        <x:f>IF(OR(G50="",H50=""),"",G50*H50)</x:f>
      </x:c>
      <x:c r="J50" s="115"/>
      <x:c r="K50" s="117"/>
      <x:c r="L50" s="117"/>
      <x:c r="M50" s="119"/>
    </x:row>
    <x:row r="51">
      <x:c r="A51" s="139"/>
      <x:c r="B51" s="117"/>
      <x:c r="C51" s="117"/>
      <x:c r="D51" s="117"/>
      <x:c r="E51" s="117"/>
      <x:c r="F51" s="117"/>
      <x:c r="G51" s="157"/>
      <x:c r="H51" s="156" t="str">
        <x:f>IF(F51="","",IF(F51="VND",1,IF(F51="USD",'Setup &amp; Lists'!$B$8,"")))</x:f>
      </x:c>
      <x:c r="I51" s="156" t="str">
        <x:f>IF(OR(G51="",H51=""),"",G51*H51)</x:f>
      </x:c>
      <x:c r="J51" s="115"/>
      <x:c r="K51" s="117"/>
      <x:c r="L51" s="117"/>
      <x:c r="M51" s="119"/>
    </x:row>
    <x:row r="52">
      <x:c r="A52" s="139"/>
      <x:c r="B52" s="117"/>
      <x:c r="C52" s="117"/>
      <x:c r="D52" s="117"/>
      <x:c r="E52" s="117"/>
      <x:c r="F52" s="117"/>
      <x:c r="G52" s="157"/>
      <x:c r="H52" s="156" t="str">
        <x:f>IF(F52="","",IF(F52="VND",1,IF(F52="USD",'Setup &amp; Lists'!$B$8,"")))</x:f>
      </x:c>
      <x:c r="I52" s="156" t="str">
        <x:f>IF(OR(G52="",H52=""),"",G52*H52)</x:f>
      </x:c>
      <x:c r="J52" s="115"/>
      <x:c r="K52" s="117"/>
      <x:c r="L52" s="117"/>
      <x:c r="M52" s="119"/>
    </x:row>
    <x:row r="53">
      <x:c r="A53" s="139"/>
      <x:c r="B53" s="117"/>
      <x:c r="C53" s="117"/>
      <x:c r="D53" s="117"/>
      <x:c r="E53" s="117"/>
      <x:c r="F53" s="117"/>
      <x:c r="G53" s="157"/>
      <x:c r="H53" s="156" t="str">
        <x:f>IF(F53="","",IF(F53="VND",1,IF(F53="USD",'Setup &amp; Lists'!$B$8,"")))</x:f>
      </x:c>
      <x:c r="I53" s="156" t="str">
        <x:f>IF(OR(G53="",H53=""),"",G53*H53)</x:f>
      </x:c>
      <x:c r="J53" s="115"/>
      <x:c r="K53" s="117"/>
      <x:c r="L53" s="117"/>
      <x:c r="M53" s="119"/>
    </x:row>
    <x:row r="54">
      <x:c r="A54" s="139"/>
      <x:c r="B54" s="117"/>
      <x:c r="C54" s="117"/>
      <x:c r="D54" s="117"/>
      <x:c r="E54" s="117"/>
      <x:c r="F54" s="117"/>
      <x:c r="G54" s="157"/>
      <x:c r="H54" s="156" t="str">
        <x:f>IF(F54="","",IF(F54="VND",1,IF(F54="USD",'Setup &amp; Lists'!$B$8,"")))</x:f>
      </x:c>
      <x:c r="I54" s="156" t="str">
        <x:f>IF(OR(G54="",H54=""),"",G54*H54)</x:f>
      </x:c>
      <x:c r="J54" s="115"/>
      <x:c r="K54" s="117"/>
      <x:c r="L54" s="117"/>
      <x:c r="M54" s="119"/>
    </x:row>
    <x:row r="55">
      <x:c r="A55" s="139"/>
      <x:c r="B55" s="117"/>
      <x:c r="C55" s="117"/>
      <x:c r="D55" s="117"/>
      <x:c r="E55" s="117"/>
      <x:c r="F55" s="117"/>
      <x:c r="G55" s="157"/>
      <x:c r="H55" s="156" t="str">
        <x:f>IF(F55="","",IF(F55="VND",1,IF(F55="USD",'Setup &amp; Lists'!$B$8,"")))</x:f>
      </x:c>
      <x:c r="I55" s="156" t="str">
        <x:f>IF(OR(G55="",H55=""),"",G55*H55)</x:f>
      </x:c>
      <x:c r="J55" s="115"/>
      <x:c r="K55" s="117"/>
      <x:c r="L55" s="117"/>
      <x:c r="M55" s="119"/>
    </x:row>
    <x:row r="56">
      <x:c r="A56" s="139"/>
      <x:c r="B56" s="117"/>
      <x:c r="C56" s="117"/>
      <x:c r="D56" s="117"/>
      <x:c r="E56" s="117"/>
      <x:c r="F56" s="117"/>
      <x:c r="G56" s="157"/>
      <x:c r="H56" s="156" t="str">
        <x:f>IF(F56="","",IF(F56="VND",1,IF(F56="USD",'Setup &amp; Lists'!$B$8,"")))</x:f>
      </x:c>
      <x:c r="I56" s="156" t="str">
        <x:f>IF(OR(G56="",H56=""),"",G56*H56)</x:f>
      </x:c>
      <x:c r="J56" s="115"/>
      <x:c r="K56" s="117"/>
      <x:c r="L56" s="117"/>
      <x:c r="M56" s="119"/>
    </x:row>
    <x:row r="57">
      <x:c r="A57" s="139"/>
      <x:c r="B57" s="117"/>
      <x:c r="C57" s="117"/>
      <x:c r="D57" s="117"/>
      <x:c r="E57" s="117"/>
      <x:c r="F57" s="117"/>
      <x:c r="G57" s="157"/>
      <x:c r="H57" s="156" t="str">
        <x:f>IF(F57="","",IF(F57="VND",1,IF(F57="USD",'Setup &amp; Lists'!$B$8,"")))</x:f>
      </x:c>
      <x:c r="I57" s="156" t="str">
        <x:f>IF(OR(G57="",H57=""),"",G57*H57)</x:f>
      </x:c>
      <x:c r="J57" s="115"/>
      <x:c r="K57" s="117"/>
      <x:c r="L57" s="117"/>
      <x:c r="M57" s="119"/>
    </x:row>
    <x:row r="58">
      <x:c r="A58" s="139"/>
      <x:c r="B58" s="117"/>
      <x:c r="C58" s="117"/>
      <x:c r="D58" s="117"/>
      <x:c r="E58" s="117"/>
      <x:c r="F58" s="117"/>
      <x:c r="G58" s="157"/>
      <x:c r="H58" s="156" t="str">
        <x:f>IF(F58="","",IF(F58="VND",1,IF(F58="USD",'Setup &amp; Lists'!$B$8,"")))</x:f>
      </x:c>
      <x:c r="I58" s="156" t="str">
        <x:f>IF(OR(G58="",H58=""),"",G58*H58)</x:f>
      </x:c>
      <x:c r="J58" s="115"/>
      <x:c r="K58" s="117"/>
      <x:c r="L58" s="117"/>
      <x:c r="M58" s="119"/>
    </x:row>
    <x:row r="59">
      <x:c r="A59" s="139"/>
      <x:c r="B59" s="117"/>
      <x:c r="C59" s="117"/>
      <x:c r="D59" s="117"/>
      <x:c r="E59" s="117"/>
      <x:c r="F59" s="117"/>
      <x:c r="G59" s="157"/>
      <x:c r="H59" s="156" t="str">
        <x:f>IF(F59="","",IF(F59="VND",1,IF(F59="USD",'Setup &amp; Lists'!$B$8,"")))</x:f>
      </x:c>
      <x:c r="I59" s="156" t="str">
        <x:f>IF(OR(G59="",H59=""),"",G59*H59)</x:f>
      </x:c>
      <x:c r="J59" s="115"/>
      <x:c r="K59" s="117"/>
      <x:c r="L59" s="117"/>
      <x:c r="M59" s="119"/>
    </x:row>
    <x:row r="60">
      <x:c r="A60" s="139"/>
      <x:c r="B60" s="117"/>
      <x:c r="C60" s="117"/>
      <x:c r="D60" s="117"/>
      <x:c r="E60" s="117"/>
      <x:c r="F60" s="117"/>
      <x:c r="G60" s="157"/>
      <x:c r="H60" s="156" t="str">
        <x:f>IF(F60="","",IF(F60="VND",1,IF(F60="USD",'Setup &amp; Lists'!$B$8,"")))</x:f>
      </x:c>
      <x:c r="I60" s="156" t="str">
        <x:f>IF(OR(G60="",H60=""),"",G60*H60)</x:f>
      </x:c>
      <x:c r="J60" s="115"/>
      <x:c r="K60" s="117"/>
      <x:c r="L60" s="117"/>
      <x:c r="M60" s="119"/>
    </x:row>
    <x:row r="61">
      <x:c r="A61" s="139"/>
      <x:c r="B61" s="117"/>
      <x:c r="C61" s="117"/>
      <x:c r="D61" s="117"/>
      <x:c r="E61" s="117"/>
      <x:c r="F61" s="117"/>
      <x:c r="G61" s="157"/>
      <x:c r="H61" s="156" t="str">
        <x:f>IF(F61="","",IF(F61="VND",1,IF(F61="USD",'Setup &amp; Lists'!$B$8,"")))</x:f>
      </x:c>
      <x:c r="I61" s="156" t="str">
        <x:f>IF(OR(G61="",H61=""),"",G61*H61)</x:f>
      </x:c>
      <x:c r="J61" s="115"/>
      <x:c r="K61" s="117"/>
      <x:c r="L61" s="117"/>
      <x:c r="M61" s="119"/>
    </x:row>
    <x:row r="62">
      <x:c r="A62" s="139"/>
      <x:c r="B62" s="117"/>
      <x:c r="C62" s="117"/>
      <x:c r="D62" s="117"/>
      <x:c r="E62" s="117"/>
      <x:c r="F62" s="117"/>
      <x:c r="G62" s="157"/>
      <x:c r="H62" s="156" t="str">
        <x:f>IF(F62="","",IF(F62="VND",1,IF(F62="USD",'Setup &amp; Lists'!$B$8,"")))</x:f>
      </x:c>
      <x:c r="I62" s="156" t="str">
        <x:f>IF(OR(G62="",H62=""),"",G62*H62)</x:f>
      </x:c>
      <x:c r="J62" s="115"/>
      <x:c r="K62" s="117"/>
      <x:c r="L62" s="117"/>
      <x:c r="M62" s="119"/>
    </x:row>
    <x:row r="63">
      <x:c r="A63" s="139"/>
      <x:c r="B63" s="117"/>
      <x:c r="C63" s="117"/>
      <x:c r="D63" s="117"/>
      <x:c r="E63" s="117"/>
      <x:c r="F63" s="117"/>
      <x:c r="G63" s="157"/>
      <x:c r="H63" s="156" t="str">
        <x:f>IF(F63="","",IF(F63="VND",1,IF(F63="USD",'Setup &amp; Lists'!$B$8,"")))</x:f>
      </x:c>
      <x:c r="I63" s="156" t="str">
        <x:f>IF(OR(G63="",H63=""),"",G63*H63)</x:f>
      </x:c>
      <x:c r="J63" s="115"/>
      <x:c r="K63" s="117"/>
      <x:c r="L63" s="117"/>
      <x:c r="M63" s="119"/>
    </x:row>
    <x:row r="64">
      <x:c r="A64" s="139"/>
      <x:c r="B64" s="117"/>
      <x:c r="C64" s="117"/>
      <x:c r="D64" s="117"/>
      <x:c r="E64" s="117"/>
      <x:c r="F64" s="117"/>
      <x:c r="G64" s="157"/>
      <x:c r="H64" s="156" t="str">
        <x:f>IF(F64="","",IF(F64="VND",1,IF(F64="USD",'Setup &amp; Lists'!$B$8,"")))</x:f>
      </x:c>
      <x:c r="I64" s="156" t="str">
        <x:f>IF(OR(G64="",H64=""),"",G64*H64)</x:f>
      </x:c>
      <x:c r="J64" s="115"/>
      <x:c r="K64" s="117"/>
      <x:c r="L64" s="117"/>
      <x:c r="M64" s="119"/>
    </x:row>
    <x:row r="65">
      <x:c r="A65" s="139"/>
      <x:c r="B65" s="117"/>
      <x:c r="C65" s="117"/>
      <x:c r="D65" s="117"/>
      <x:c r="E65" s="117"/>
      <x:c r="F65" s="117"/>
      <x:c r="G65" s="157"/>
      <x:c r="H65" s="156" t="str">
        <x:f>IF(F65="","",IF(F65="VND",1,IF(F65="USD",'Setup &amp; Lists'!$B$8,"")))</x:f>
      </x:c>
      <x:c r="I65" s="156" t="str">
        <x:f>IF(OR(G65="",H65=""),"",G65*H65)</x:f>
      </x:c>
      <x:c r="J65" s="115"/>
      <x:c r="K65" s="117"/>
      <x:c r="L65" s="117"/>
      <x:c r="M65" s="119"/>
    </x:row>
    <x:row r="66">
      <x:c r="A66" s="139"/>
      <x:c r="B66" s="117"/>
      <x:c r="C66" s="117"/>
      <x:c r="D66" s="117"/>
      <x:c r="E66" s="117"/>
      <x:c r="F66" s="117"/>
      <x:c r="G66" s="157"/>
      <x:c r="H66" s="156" t="str">
        <x:f>IF(F66="","",IF(F66="VND",1,IF(F66="USD",'Setup &amp; Lists'!$B$8,"")))</x:f>
      </x:c>
      <x:c r="I66" s="156" t="str">
        <x:f>IF(OR(G66="",H66=""),"",G66*H66)</x:f>
      </x:c>
      <x:c r="J66" s="115"/>
      <x:c r="K66" s="117"/>
      <x:c r="L66" s="117"/>
      <x:c r="M66" s="119"/>
    </x:row>
    <x:row r="67">
      <x:c r="A67" s="139"/>
      <x:c r="B67" s="117"/>
      <x:c r="C67" s="117"/>
      <x:c r="D67" s="117"/>
      <x:c r="E67" s="117"/>
      <x:c r="F67" s="117"/>
      <x:c r="G67" s="157"/>
      <x:c r="H67" s="156" t="str">
        <x:f>IF(F67="","",IF(F67="VND",1,IF(F67="USD",'Setup &amp; Lists'!$B$8,"")))</x:f>
      </x:c>
      <x:c r="I67" s="156" t="str">
        <x:f>IF(OR(G67="",H67=""),"",G67*H67)</x:f>
      </x:c>
      <x:c r="J67" s="115"/>
      <x:c r="K67" s="117"/>
      <x:c r="L67" s="117"/>
      <x:c r="M67" s="119"/>
    </x:row>
    <x:row r="68">
      <x:c r="A68" s="139"/>
      <x:c r="B68" s="117"/>
      <x:c r="C68" s="117"/>
      <x:c r="D68" s="117"/>
      <x:c r="E68" s="117"/>
      <x:c r="F68" s="117"/>
      <x:c r="G68" s="157"/>
      <x:c r="H68" s="156" t="str">
        <x:f>IF(F68="","",IF(F68="VND",1,IF(F68="USD",'Setup &amp; Lists'!$B$8,"")))</x:f>
      </x:c>
      <x:c r="I68" s="156" t="str">
        <x:f>IF(OR(G68="",H68=""),"",G68*H68)</x:f>
      </x:c>
      <x:c r="J68" s="115"/>
      <x:c r="K68" s="117"/>
      <x:c r="L68" s="117"/>
      <x:c r="M68" s="119"/>
    </x:row>
    <x:row r="69">
      <x:c r="A69" s="139"/>
      <x:c r="B69" s="117"/>
      <x:c r="C69" s="117"/>
      <x:c r="D69" s="117"/>
      <x:c r="E69" s="117"/>
      <x:c r="F69" s="117"/>
      <x:c r="G69" s="157"/>
      <x:c r="H69" s="156" t="str">
        <x:f>IF(F69="","",IF(F69="VND",1,IF(F69="USD",'Setup &amp; Lists'!$B$8,"")))</x:f>
      </x:c>
      <x:c r="I69" s="156" t="str">
        <x:f>IF(OR(G69="",H69=""),"",G69*H69)</x:f>
      </x:c>
      <x:c r="J69" s="115"/>
      <x:c r="K69" s="117"/>
      <x:c r="L69" s="117"/>
      <x:c r="M69" s="119"/>
    </x:row>
    <x:row r="70">
      <x:c r="A70" s="139"/>
      <x:c r="B70" s="117"/>
      <x:c r="C70" s="117"/>
      <x:c r="D70" s="117"/>
      <x:c r="E70" s="117"/>
      <x:c r="F70" s="117"/>
      <x:c r="G70" s="157"/>
      <x:c r="H70" s="156" t="str">
        <x:f>IF(F70="","",IF(F70="VND",1,IF(F70="USD",'Setup &amp; Lists'!$B$8,"")))</x:f>
      </x:c>
      <x:c r="I70" s="156" t="str">
        <x:f>IF(OR(G70="",H70=""),"",G70*H70)</x:f>
      </x:c>
      <x:c r="J70" s="115"/>
      <x:c r="K70" s="117"/>
      <x:c r="L70" s="117"/>
      <x:c r="M70" s="119"/>
    </x:row>
    <x:row r="71">
      <x:c r="A71" s="139"/>
      <x:c r="B71" s="117"/>
      <x:c r="C71" s="117"/>
      <x:c r="D71" s="117"/>
      <x:c r="E71" s="117"/>
      <x:c r="F71" s="117"/>
      <x:c r="G71" s="157"/>
      <x:c r="H71" s="156" t="str">
        <x:f>IF(F71="","",IF(F71="VND",1,IF(F71="USD",'Setup &amp; Lists'!$B$8,"")))</x:f>
      </x:c>
      <x:c r="I71" s="156" t="str">
        <x:f>IF(OR(G71="",H71=""),"",G71*H71)</x:f>
      </x:c>
      <x:c r="J71" s="115"/>
      <x:c r="K71" s="117"/>
      <x:c r="L71" s="117"/>
      <x:c r="M71" s="119"/>
    </x:row>
    <x:row r="72">
      <x:c r="A72" s="139"/>
      <x:c r="B72" s="117"/>
      <x:c r="C72" s="117"/>
      <x:c r="D72" s="117"/>
      <x:c r="E72" s="117"/>
      <x:c r="F72" s="117"/>
      <x:c r="G72" s="157"/>
      <x:c r="H72" s="156" t="str">
        <x:f>IF(F72="","",IF(F72="VND",1,IF(F72="USD",'Setup &amp; Lists'!$B$8,"")))</x:f>
      </x:c>
      <x:c r="I72" s="156" t="str">
        <x:f>IF(OR(G72="",H72=""),"",G72*H72)</x:f>
      </x:c>
      <x:c r="J72" s="115"/>
      <x:c r="K72" s="117"/>
      <x:c r="L72" s="117"/>
      <x:c r="M72" s="119"/>
    </x:row>
    <x:row r="73">
      <x:c r="A73" s="139"/>
      <x:c r="B73" s="117"/>
      <x:c r="C73" s="117"/>
      <x:c r="D73" s="117"/>
      <x:c r="E73" s="117"/>
      <x:c r="F73" s="117"/>
      <x:c r="G73" s="157"/>
      <x:c r="H73" s="156" t="str">
        <x:f>IF(F73="","",IF(F73="VND",1,IF(F73="USD",'Setup &amp; Lists'!$B$8,"")))</x:f>
      </x:c>
      <x:c r="I73" s="156" t="str">
        <x:f>IF(OR(G73="",H73=""),"",G73*H73)</x:f>
      </x:c>
      <x:c r="J73" s="115"/>
      <x:c r="K73" s="117"/>
      <x:c r="L73" s="117"/>
      <x:c r="M73" s="119"/>
    </x:row>
    <x:row r="74">
      <x:c r="A74" s="139"/>
      <x:c r="B74" s="117"/>
      <x:c r="C74" s="117"/>
      <x:c r="D74" s="117"/>
      <x:c r="E74" s="117"/>
      <x:c r="F74" s="117"/>
      <x:c r="G74" s="157"/>
      <x:c r="H74" s="156" t="str">
        <x:f>IF(F74="","",IF(F74="VND",1,IF(F74="USD",'Setup &amp; Lists'!$B$8,"")))</x:f>
      </x:c>
      <x:c r="I74" s="156" t="str">
        <x:f>IF(OR(G74="",H74=""),"",G74*H74)</x:f>
      </x:c>
      <x:c r="J74" s="115"/>
      <x:c r="K74" s="117"/>
      <x:c r="L74" s="117"/>
      <x:c r="M74" s="119"/>
    </x:row>
    <x:row r="75">
      <x:c r="A75" s="139"/>
      <x:c r="B75" s="117"/>
      <x:c r="C75" s="117"/>
      <x:c r="D75" s="117"/>
      <x:c r="E75" s="117"/>
      <x:c r="F75" s="117"/>
      <x:c r="G75" s="157"/>
      <x:c r="H75" s="156" t="str">
        <x:f>IF(F75="","",IF(F75="VND",1,IF(F75="USD",'Setup &amp; Lists'!$B$8,"")))</x:f>
      </x:c>
      <x:c r="I75" s="156" t="str">
        <x:f>IF(OR(G75="",H75=""),"",G75*H75)</x:f>
      </x:c>
      <x:c r="J75" s="115"/>
      <x:c r="K75" s="117"/>
      <x:c r="L75" s="117"/>
      <x:c r="M75" s="119"/>
    </x:row>
    <x:row r="76">
      <x:c r="A76" s="139"/>
      <x:c r="B76" s="117"/>
      <x:c r="C76" s="117"/>
      <x:c r="D76" s="117"/>
      <x:c r="E76" s="117"/>
      <x:c r="F76" s="117"/>
      <x:c r="G76" s="157"/>
      <x:c r="H76" s="156" t="str">
        <x:f>IF(F76="","",IF(F76="VND",1,IF(F76="USD",'Setup &amp; Lists'!$B$8,"")))</x:f>
      </x:c>
      <x:c r="I76" s="156" t="str">
        <x:f>IF(OR(G76="",H76=""),"",G76*H76)</x:f>
      </x:c>
      <x:c r="J76" s="115"/>
      <x:c r="K76" s="117"/>
      <x:c r="L76" s="117"/>
      <x:c r="M76" s="119"/>
    </x:row>
    <x:row r="77">
      <x:c r="A77" s="139"/>
      <x:c r="B77" s="117"/>
      <x:c r="C77" s="117"/>
      <x:c r="D77" s="117"/>
      <x:c r="E77" s="117"/>
      <x:c r="F77" s="117"/>
      <x:c r="G77" s="157"/>
      <x:c r="H77" s="156" t="str">
        <x:f>IF(F77="","",IF(F77="VND",1,IF(F77="USD",'Setup &amp; Lists'!$B$8,"")))</x:f>
      </x:c>
      <x:c r="I77" s="156" t="str">
        <x:f>IF(OR(G77="",H77=""),"",G77*H77)</x:f>
      </x:c>
      <x:c r="J77" s="115"/>
      <x:c r="K77" s="117"/>
      <x:c r="L77" s="117"/>
      <x:c r="M77" s="119"/>
    </x:row>
    <x:row r="78">
      <x:c r="A78" s="139"/>
      <x:c r="B78" s="117"/>
      <x:c r="C78" s="117"/>
      <x:c r="D78" s="117"/>
      <x:c r="E78" s="117"/>
      <x:c r="F78" s="117"/>
      <x:c r="G78" s="157"/>
      <x:c r="H78" s="156" t="str">
        <x:f>IF(F78="","",IF(F78="VND",1,IF(F78="USD",'Setup &amp; Lists'!$B$8,"")))</x:f>
      </x:c>
      <x:c r="I78" s="156" t="str">
        <x:f>IF(OR(G78="",H78=""),"",G78*H78)</x:f>
      </x:c>
      <x:c r="J78" s="115"/>
      <x:c r="K78" s="117"/>
      <x:c r="L78" s="117"/>
      <x:c r="M78" s="119"/>
    </x:row>
    <x:row r="79">
      <x:c r="A79" s="139"/>
      <x:c r="B79" s="117"/>
      <x:c r="C79" s="117"/>
      <x:c r="D79" s="117"/>
      <x:c r="E79" s="117"/>
      <x:c r="F79" s="117"/>
      <x:c r="G79" s="157"/>
      <x:c r="H79" s="156" t="str">
        <x:f>IF(F79="","",IF(F79="VND",1,IF(F79="USD",'Setup &amp; Lists'!$B$8,"")))</x:f>
      </x:c>
      <x:c r="I79" s="156" t="str">
        <x:f>IF(OR(G79="",H79=""),"",G79*H79)</x:f>
      </x:c>
      <x:c r="J79" s="115"/>
      <x:c r="K79" s="117"/>
      <x:c r="L79" s="117"/>
      <x:c r="M79" s="119"/>
    </x:row>
    <x:row r="80">
      <x:c r="A80" s="139"/>
      <x:c r="B80" s="117"/>
      <x:c r="C80" s="117"/>
      <x:c r="D80" s="117"/>
      <x:c r="E80" s="117"/>
      <x:c r="F80" s="117"/>
      <x:c r="G80" s="157"/>
      <x:c r="H80" s="156" t="str">
        <x:f>IF(F80="","",IF(F80="VND",1,IF(F80="USD",'Setup &amp; Lists'!$B$8,"")))</x:f>
      </x:c>
      <x:c r="I80" s="156" t="str">
        <x:f>IF(OR(G80="",H80=""),"",G80*H80)</x:f>
      </x:c>
      <x:c r="J80" s="115"/>
      <x:c r="K80" s="117"/>
      <x:c r="L80" s="117"/>
      <x:c r="M80" s="119"/>
    </x:row>
    <x:row r="81">
      <x:c r="A81" s="139"/>
      <x:c r="B81" s="117"/>
      <x:c r="C81" s="117"/>
      <x:c r="D81" s="117"/>
      <x:c r="E81" s="117"/>
      <x:c r="F81" s="117"/>
      <x:c r="G81" s="157"/>
      <x:c r="H81" s="156" t="str">
        <x:f>IF(F81="","",IF(F81="VND",1,IF(F81="USD",'Setup &amp; Lists'!$B$8,"")))</x:f>
      </x:c>
      <x:c r="I81" s="156" t="str">
        <x:f>IF(OR(G81="",H81=""),"",G81*H81)</x:f>
      </x:c>
      <x:c r="J81" s="115"/>
      <x:c r="K81" s="117"/>
      <x:c r="L81" s="117"/>
      <x:c r="M81" s="119"/>
    </x:row>
    <x:row r="82">
      <x:c r="A82" s="139"/>
      <x:c r="B82" s="117"/>
      <x:c r="C82" s="117"/>
      <x:c r="D82" s="117"/>
      <x:c r="E82" s="117"/>
      <x:c r="F82" s="117"/>
      <x:c r="G82" s="157"/>
      <x:c r="H82" s="156" t="str">
        <x:f>IF(F82="","",IF(F82="VND",1,IF(F82="USD",'Setup &amp; Lists'!$B$8,"")))</x:f>
      </x:c>
      <x:c r="I82" s="156" t="str">
        <x:f>IF(OR(G82="",H82=""),"",G82*H82)</x:f>
      </x:c>
      <x:c r="J82" s="115"/>
      <x:c r="K82" s="117"/>
      <x:c r="L82" s="117"/>
      <x:c r="M82" s="119"/>
    </x:row>
    <x:row r="83">
      <x:c r="A83" s="139"/>
      <x:c r="B83" s="117"/>
      <x:c r="C83" s="117"/>
      <x:c r="D83" s="117"/>
      <x:c r="E83" s="117"/>
      <x:c r="F83" s="117"/>
      <x:c r="G83" s="157"/>
      <x:c r="H83" s="156" t="str">
        <x:f>IF(F83="","",IF(F83="VND",1,IF(F83="USD",'Setup &amp; Lists'!$B$8,"")))</x:f>
      </x:c>
      <x:c r="I83" s="156" t="str">
        <x:f>IF(OR(G83="",H83=""),"",G83*H83)</x:f>
      </x:c>
      <x:c r="J83" s="115"/>
      <x:c r="K83" s="117"/>
      <x:c r="L83" s="117"/>
      <x:c r="M83" s="119"/>
    </x:row>
    <x:row r="84">
      <x:c r="A84" s="139"/>
      <x:c r="B84" s="117"/>
      <x:c r="C84" s="117"/>
      <x:c r="D84" s="117"/>
      <x:c r="E84" s="117"/>
      <x:c r="F84" s="117"/>
      <x:c r="G84" s="157"/>
      <x:c r="H84" s="156" t="str">
        <x:f>IF(F84="","",IF(F84="VND",1,IF(F84="USD",'Setup &amp; Lists'!$B$8,"")))</x:f>
      </x:c>
      <x:c r="I84" s="156" t="str">
        <x:f>IF(OR(G84="",H84=""),"",G84*H84)</x:f>
      </x:c>
      <x:c r="J84" s="115"/>
      <x:c r="K84" s="117"/>
      <x:c r="L84" s="117"/>
      <x:c r="M84" s="119"/>
    </x:row>
    <x:row r="85">
      <x:c r="A85" s="139"/>
      <x:c r="B85" s="117"/>
      <x:c r="C85" s="117"/>
      <x:c r="D85" s="117"/>
      <x:c r="E85" s="117"/>
      <x:c r="F85" s="117"/>
      <x:c r="G85" s="157"/>
      <x:c r="H85" s="156" t="str">
        <x:f>IF(F85="","",IF(F85="VND",1,IF(F85="USD",'Setup &amp; Lists'!$B$8,"")))</x:f>
      </x:c>
      <x:c r="I85" s="156" t="str">
        <x:f>IF(OR(G85="",H85=""),"",G85*H85)</x:f>
      </x:c>
      <x:c r="J85" s="115"/>
      <x:c r="K85" s="117"/>
      <x:c r="L85" s="117"/>
      <x:c r="M85" s="119"/>
    </x:row>
    <x:row r="86">
      <x:c r="A86" s="139"/>
      <x:c r="B86" s="117"/>
      <x:c r="C86" s="117"/>
      <x:c r="D86" s="117"/>
      <x:c r="E86" s="117"/>
      <x:c r="F86" s="117"/>
      <x:c r="G86" s="157"/>
      <x:c r="H86" s="156" t="str">
        <x:f>IF(F86="","",IF(F86="VND",1,IF(F86="USD",'Setup &amp; Lists'!$B$8,"")))</x:f>
      </x:c>
      <x:c r="I86" s="156" t="str">
        <x:f>IF(OR(G86="",H86=""),"",G86*H86)</x:f>
      </x:c>
      <x:c r="J86" s="115"/>
      <x:c r="K86" s="117"/>
      <x:c r="L86" s="117"/>
      <x:c r="M86" s="119"/>
    </x:row>
    <x:row r="87">
      <x:c r="A87" s="139"/>
      <x:c r="B87" s="117"/>
      <x:c r="C87" s="117"/>
      <x:c r="D87" s="117"/>
      <x:c r="E87" s="117"/>
      <x:c r="F87" s="117"/>
      <x:c r="G87" s="157"/>
      <x:c r="H87" s="156" t="str">
        <x:f>IF(F87="","",IF(F87="VND",1,IF(F87="USD",'Setup &amp; Lists'!$B$8,"")))</x:f>
      </x:c>
      <x:c r="I87" s="156" t="str">
        <x:f>IF(OR(G87="",H87=""),"",G87*H87)</x:f>
      </x:c>
      <x:c r="J87" s="115"/>
      <x:c r="K87" s="117"/>
      <x:c r="L87" s="117"/>
      <x:c r="M87" s="119"/>
    </x:row>
    <x:row r="88">
      <x:c r="A88" s="139"/>
      <x:c r="B88" s="117"/>
      <x:c r="C88" s="117"/>
      <x:c r="D88" s="117"/>
      <x:c r="E88" s="117"/>
      <x:c r="F88" s="117"/>
      <x:c r="G88" s="157"/>
      <x:c r="H88" s="156" t="str">
        <x:f>IF(F88="","",IF(F88="VND",1,IF(F88="USD",'Setup &amp; Lists'!$B$8,"")))</x:f>
      </x:c>
      <x:c r="I88" s="156" t="str">
        <x:f>IF(OR(G88="",H88=""),"",G88*H88)</x:f>
      </x:c>
      <x:c r="J88" s="115"/>
      <x:c r="K88" s="117"/>
      <x:c r="L88" s="117"/>
      <x:c r="M88" s="119"/>
    </x:row>
    <x:row r="89">
      <x:c r="A89" s="139"/>
      <x:c r="B89" s="117"/>
      <x:c r="C89" s="117"/>
      <x:c r="D89" s="117"/>
      <x:c r="E89" s="117"/>
      <x:c r="F89" s="117"/>
      <x:c r="G89" s="157"/>
      <x:c r="H89" s="156" t="str">
        <x:f>IF(F89="","",IF(F89="VND",1,IF(F89="USD",'Setup &amp; Lists'!$B$8,"")))</x:f>
      </x:c>
      <x:c r="I89" s="156" t="str">
        <x:f>IF(OR(G89="",H89=""),"",G89*H89)</x:f>
      </x:c>
      <x:c r="J89" s="115"/>
      <x:c r="K89" s="117"/>
      <x:c r="L89" s="117"/>
      <x:c r="M89" s="119"/>
    </x:row>
    <x:row r="90">
      <x:c r="A90" s="139"/>
      <x:c r="B90" s="117"/>
      <x:c r="C90" s="117"/>
      <x:c r="D90" s="117"/>
      <x:c r="E90" s="117"/>
      <x:c r="F90" s="117"/>
      <x:c r="G90" s="157"/>
      <x:c r="H90" s="156" t="str">
        <x:f>IF(F90="","",IF(F90="VND",1,IF(F90="USD",'Setup &amp; Lists'!$B$8,"")))</x:f>
      </x:c>
      <x:c r="I90" s="156" t="str">
        <x:f>IF(OR(G90="",H90=""),"",G90*H90)</x:f>
      </x:c>
      <x:c r="J90" s="115"/>
      <x:c r="K90" s="117"/>
      <x:c r="L90" s="117"/>
      <x:c r="M90" s="119"/>
    </x:row>
    <x:row r="91">
      <x:c r="A91" s="139"/>
      <x:c r="B91" s="117"/>
      <x:c r="C91" s="117"/>
      <x:c r="D91" s="117"/>
      <x:c r="E91" s="117"/>
      <x:c r="F91" s="117"/>
      <x:c r="G91" s="157"/>
      <x:c r="H91" s="156" t="str">
        <x:f>IF(F91="","",IF(F91="VND",1,IF(F91="USD",'Setup &amp; Lists'!$B$8,"")))</x:f>
      </x:c>
      <x:c r="I91" s="156" t="str">
        <x:f>IF(OR(G91="",H91=""),"",G91*H91)</x:f>
      </x:c>
      <x:c r="J91" s="115"/>
      <x:c r="K91" s="117"/>
      <x:c r="L91" s="117"/>
      <x:c r="M91" s="119"/>
    </x:row>
    <x:row r="92">
      <x:c r="A92" s="139"/>
      <x:c r="B92" s="117"/>
      <x:c r="C92" s="117"/>
      <x:c r="D92" s="117"/>
      <x:c r="E92" s="117"/>
      <x:c r="F92" s="117"/>
      <x:c r="G92" s="157"/>
      <x:c r="H92" s="156" t="str">
        <x:f>IF(F92="","",IF(F92="VND",1,IF(F92="USD",'Setup &amp; Lists'!$B$8,"")))</x:f>
      </x:c>
      <x:c r="I92" s="156" t="str">
        <x:f>IF(OR(G92="",H92=""),"",G92*H92)</x:f>
      </x:c>
      <x:c r="J92" s="115"/>
      <x:c r="K92" s="117"/>
      <x:c r="L92" s="117"/>
      <x:c r="M92" s="119"/>
    </x:row>
    <x:row r="93">
      <x:c r="A93" s="139"/>
      <x:c r="B93" s="117"/>
      <x:c r="C93" s="117"/>
      <x:c r="D93" s="117"/>
      <x:c r="E93" s="117"/>
      <x:c r="F93" s="117"/>
      <x:c r="G93" s="157"/>
      <x:c r="H93" s="156" t="str">
        <x:f>IF(F93="","",IF(F93="VND",1,IF(F93="USD",'Setup &amp; Lists'!$B$8,"")))</x:f>
      </x:c>
      <x:c r="I93" s="156" t="str">
        <x:f>IF(OR(G93="",H93=""),"",G93*H93)</x:f>
      </x:c>
      <x:c r="J93" s="115"/>
      <x:c r="K93" s="117"/>
      <x:c r="L93" s="117"/>
      <x:c r="M93" s="119"/>
    </x:row>
    <x:row r="94">
      <x:c r="A94" s="139"/>
      <x:c r="B94" s="117"/>
      <x:c r="C94" s="117"/>
      <x:c r="D94" s="117"/>
      <x:c r="E94" s="117"/>
      <x:c r="F94" s="117"/>
      <x:c r="G94" s="157"/>
      <x:c r="H94" s="156" t="str">
        <x:f>IF(F94="","",IF(F94="VND",1,IF(F94="USD",'Setup &amp; Lists'!$B$8,"")))</x:f>
      </x:c>
      <x:c r="I94" s="156" t="str">
        <x:f>IF(OR(G94="",H94=""),"",G94*H94)</x:f>
      </x:c>
      <x:c r="J94" s="115"/>
      <x:c r="K94" s="117"/>
      <x:c r="L94" s="117"/>
      <x:c r="M94" s="119"/>
    </x:row>
    <x:row r="95">
      <x:c r="A95" s="139"/>
      <x:c r="B95" s="117"/>
      <x:c r="C95" s="117"/>
      <x:c r="D95" s="117"/>
      <x:c r="E95" s="117"/>
      <x:c r="F95" s="117"/>
      <x:c r="G95" s="157"/>
      <x:c r="H95" s="156" t="str">
        <x:f>IF(F95="","",IF(F95="VND",1,IF(F95="USD",'Setup &amp; Lists'!$B$8,"")))</x:f>
      </x:c>
      <x:c r="I95" s="156" t="str">
        <x:f>IF(OR(G95="",H95=""),"",G95*H95)</x:f>
      </x:c>
      <x:c r="J95" s="115"/>
      <x:c r="K95" s="117"/>
      <x:c r="L95" s="117"/>
      <x:c r="M95" s="119"/>
    </x:row>
    <x:row r="96">
      <x:c r="A96" s="139"/>
      <x:c r="B96" s="117"/>
      <x:c r="C96" s="117"/>
      <x:c r="D96" s="117"/>
      <x:c r="E96" s="117"/>
      <x:c r="F96" s="117"/>
      <x:c r="G96" s="157"/>
      <x:c r="H96" s="156" t="str">
        <x:f>IF(F96="","",IF(F96="VND",1,IF(F96="USD",'Setup &amp; Lists'!$B$8,"")))</x:f>
      </x:c>
      <x:c r="I96" s="156" t="str">
        <x:f>IF(OR(G96="",H96=""),"",G96*H96)</x:f>
      </x:c>
      <x:c r="J96" s="115"/>
      <x:c r="K96" s="117"/>
      <x:c r="L96" s="117"/>
      <x:c r="M96" s="119"/>
    </x:row>
    <x:row r="97">
      <x:c r="A97" s="139"/>
      <x:c r="B97" s="117"/>
      <x:c r="C97" s="117"/>
      <x:c r="D97" s="117"/>
      <x:c r="E97" s="117"/>
      <x:c r="F97" s="117"/>
      <x:c r="G97" s="157"/>
      <x:c r="H97" s="156" t="str">
        <x:f>IF(F97="","",IF(F97="VND",1,IF(F97="USD",'Setup &amp; Lists'!$B$8,"")))</x:f>
      </x:c>
      <x:c r="I97" s="156" t="str">
        <x:f>IF(OR(G97="",H97=""),"",G97*H97)</x:f>
      </x:c>
      <x:c r="J97" s="115"/>
      <x:c r="K97" s="117"/>
      <x:c r="L97" s="117"/>
      <x:c r="M97" s="119"/>
    </x:row>
    <x:row r="98">
      <x:c r="A98" s="139"/>
      <x:c r="B98" s="117"/>
      <x:c r="C98" s="117"/>
      <x:c r="D98" s="117"/>
      <x:c r="E98" s="117"/>
      <x:c r="F98" s="117"/>
      <x:c r="G98" s="157"/>
      <x:c r="H98" s="156" t="str">
        <x:f>IF(F98="","",IF(F98="VND",1,IF(F98="USD",'Setup &amp; Lists'!$B$8,"")))</x:f>
      </x:c>
      <x:c r="I98" s="156" t="str">
        <x:f>IF(OR(G98="",H98=""),"",G98*H98)</x:f>
      </x:c>
      <x:c r="J98" s="115"/>
      <x:c r="K98" s="117"/>
      <x:c r="L98" s="117"/>
      <x:c r="M98" s="119"/>
    </x:row>
    <x:row r="99">
      <x:c r="A99" s="139"/>
      <x:c r="B99" s="117"/>
      <x:c r="C99" s="117"/>
      <x:c r="D99" s="117"/>
      <x:c r="E99" s="117"/>
      <x:c r="F99" s="117"/>
      <x:c r="G99" s="157"/>
      <x:c r="H99" s="156" t="str">
        <x:f>IF(F99="","",IF(F99="VND",1,IF(F99="USD",'Setup &amp; Lists'!$B$8,"")))</x:f>
      </x:c>
      <x:c r="I99" s="156" t="str">
        <x:f>IF(OR(G99="",H99=""),"",G99*H99)</x:f>
      </x:c>
      <x:c r="J99" s="115"/>
      <x:c r="K99" s="117"/>
      <x:c r="L99" s="117"/>
      <x:c r="M99" s="119"/>
    </x:row>
    <x:row r="100">
      <x:c r="A100" s="139"/>
      <x:c r="B100" s="117"/>
      <x:c r="C100" s="117"/>
      <x:c r="D100" s="117"/>
      <x:c r="E100" s="117"/>
      <x:c r="F100" s="117"/>
      <x:c r="G100" s="157"/>
      <x:c r="H100" s="156" t="str">
        <x:f>IF(F100="","",IF(F100="VND",1,IF(F100="USD",'Setup &amp; Lists'!$B$8,"")))</x:f>
      </x:c>
      <x:c r="I100" s="156" t="str">
        <x:f>IF(OR(G100="",H100=""),"",G100*H100)</x:f>
      </x:c>
      <x:c r="J100" s="115"/>
      <x:c r="K100" s="117"/>
      <x:c r="L100" s="117"/>
      <x:c r="M100" s="119"/>
    </x:row>
    <x:row r="101">
      <x:c r="A101" s="139"/>
      <x:c r="B101" s="117"/>
      <x:c r="C101" s="117"/>
      <x:c r="D101" s="117"/>
      <x:c r="E101" s="117"/>
      <x:c r="F101" s="117"/>
      <x:c r="G101" s="157"/>
      <x:c r="H101" s="156" t="str">
        <x:f>IF(F101="","",IF(F101="VND",1,IF(F101="USD",'Setup &amp; Lists'!$B$8,"")))</x:f>
      </x:c>
      <x:c r="I101" s="156" t="str">
        <x:f>IF(OR(G101="",H101=""),"",G101*H101)</x:f>
      </x:c>
      <x:c r="J101" s="115"/>
      <x:c r="K101" s="117"/>
      <x:c r="L101" s="117"/>
      <x:c r="M101" s="119"/>
    </x:row>
    <x:row r="102">
      <x:c r="A102" s="139"/>
      <x:c r="B102" s="117"/>
      <x:c r="C102" s="117"/>
      <x:c r="D102" s="117"/>
      <x:c r="E102" s="117"/>
      <x:c r="F102" s="117"/>
      <x:c r="G102" s="157"/>
      <x:c r="H102" s="156" t="str">
        <x:f>IF(F102="","",IF(F102="VND",1,IF(F102="USD",'Setup &amp; Lists'!$B$8,"")))</x:f>
      </x:c>
      <x:c r="I102" s="156" t="str">
        <x:f>IF(OR(G102="",H102=""),"",G102*H102)</x:f>
      </x:c>
      <x:c r="J102" s="115"/>
      <x:c r="K102" s="117"/>
      <x:c r="L102" s="117"/>
      <x:c r="M102" s="119"/>
    </x:row>
    <x:row r="103">
      <x:c r="A103" s="139"/>
      <x:c r="B103" s="117"/>
      <x:c r="C103" s="117"/>
      <x:c r="D103" s="117"/>
      <x:c r="E103" s="117"/>
      <x:c r="F103" s="117"/>
      <x:c r="G103" s="157"/>
      <x:c r="H103" s="156" t="str">
        <x:f>IF(F103="","",IF(F103="VND",1,IF(F103="USD",'Setup &amp; Lists'!$B$8,"")))</x:f>
      </x:c>
      <x:c r="I103" s="156" t="str">
        <x:f>IF(OR(G103="",H103=""),"",G103*H103)</x:f>
      </x:c>
      <x:c r="J103" s="115"/>
      <x:c r="K103" s="117"/>
      <x:c r="L103" s="117"/>
      <x:c r="M103" s="119"/>
    </x:row>
    <x:row r="104">
      <x:c r="A104" s="139"/>
      <x:c r="B104" s="117"/>
      <x:c r="C104" s="117"/>
      <x:c r="D104" s="117"/>
      <x:c r="E104" s="117"/>
      <x:c r="F104" s="117"/>
      <x:c r="G104" s="157"/>
      <x:c r="H104" s="156" t="str">
        <x:f>IF(F104="","",IF(F104="VND",1,IF(F104="USD",'Setup &amp; Lists'!$B$8,"")))</x:f>
      </x:c>
      <x:c r="I104" s="156" t="str">
        <x:f>IF(OR(G104="",H104=""),"",G104*H104)</x:f>
      </x:c>
      <x:c r="J104" s="115"/>
      <x:c r="K104" s="117"/>
      <x:c r="L104" s="117"/>
      <x:c r="M104" s="119"/>
    </x:row>
    <x:row r="105">
      <x:c r="A105" s="139"/>
      <x:c r="B105" s="117"/>
      <x:c r="C105" s="117"/>
      <x:c r="D105" s="117"/>
      <x:c r="E105" s="117"/>
      <x:c r="F105" s="117"/>
      <x:c r="G105" s="157"/>
      <x:c r="H105" s="156" t="str">
        <x:f>IF(F105="","",IF(F105="VND",1,IF(F105="USD",'Setup &amp; Lists'!$B$8,"")))</x:f>
      </x:c>
      <x:c r="I105" s="156" t="str">
        <x:f>IF(OR(G105="",H105=""),"",G105*H105)</x:f>
      </x:c>
      <x:c r="J105" s="115"/>
      <x:c r="K105" s="117"/>
      <x:c r="L105" s="117"/>
      <x:c r="M105" s="119"/>
    </x:row>
    <x:row r="106">
      <x:c r="A106" s="139"/>
      <x:c r="B106" s="117"/>
      <x:c r="C106" s="117"/>
      <x:c r="D106" s="117"/>
      <x:c r="E106" s="117"/>
      <x:c r="F106" s="117"/>
      <x:c r="G106" s="157"/>
      <x:c r="H106" s="156" t="str">
        <x:f>IF(F106="","",IF(F106="VND",1,IF(F106="USD",'Setup &amp; Lists'!$B$8,"")))</x:f>
      </x:c>
      <x:c r="I106" s="156" t="str">
        <x:f>IF(OR(G106="",H106=""),"",G106*H106)</x:f>
      </x:c>
      <x:c r="J106" s="115"/>
      <x:c r="K106" s="117"/>
      <x:c r="L106" s="117"/>
      <x:c r="M106" s="119"/>
    </x:row>
    <x:row r="107">
      <x:c r="A107" s="139"/>
      <x:c r="B107" s="117"/>
      <x:c r="C107" s="117"/>
      <x:c r="D107" s="117"/>
      <x:c r="E107" s="117"/>
      <x:c r="F107" s="117"/>
      <x:c r="G107" s="157"/>
      <x:c r="H107" s="156" t="str">
        <x:f>IF(F107="","",IF(F107="VND",1,IF(F107="USD",'Setup &amp; Lists'!$B$8,"")))</x:f>
      </x:c>
      <x:c r="I107" s="156" t="str">
        <x:f>IF(OR(G107="",H107=""),"",G107*H107)</x:f>
      </x:c>
      <x:c r="J107" s="115"/>
      <x:c r="K107" s="117"/>
      <x:c r="L107" s="117"/>
      <x:c r="M107" s="119"/>
    </x:row>
    <x:row r="108">
      <x:c r="A108" s="139"/>
      <x:c r="B108" s="117"/>
      <x:c r="C108" s="117"/>
      <x:c r="D108" s="117"/>
      <x:c r="E108" s="117"/>
      <x:c r="F108" s="117"/>
      <x:c r="G108" s="157"/>
      <x:c r="H108" s="156" t="str">
        <x:f>IF(F108="","",IF(F108="VND",1,IF(F108="USD",'Setup &amp; Lists'!$B$8,"")))</x:f>
      </x:c>
      <x:c r="I108" s="156" t="str">
        <x:f>IF(OR(G108="",H108=""),"",G108*H108)</x:f>
      </x:c>
      <x:c r="J108" s="115"/>
      <x:c r="K108" s="117"/>
      <x:c r="L108" s="117"/>
      <x:c r="M108" s="119"/>
    </x:row>
    <x:row r="109">
      <x:c r="A109" s="139"/>
      <x:c r="B109" s="117"/>
      <x:c r="C109" s="117"/>
      <x:c r="D109" s="117"/>
      <x:c r="E109" s="117"/>
      <x:c r="F109" s="117"/>
      <x:c r="G109" s="157"/>
      <x:c r="H109" s="156" t="str">
        <x:f>IF(F109="","",IF(F109="VND",1,IF(F109="USD",'Setup &amp; Lists'!$B$8,"")))</x:f>
      </x:c>
      <x:c r="I109" s="156" t="str">
        <x:f>IF(OR(G109="",H109=""),"",G109*H109)</x:f>
      </x:c>
      <x:c r="J109" s="115"/>
      <x:c r="K109" s="117"/>
      <x:c r="L109" s="117"/>
      <x:c r="M109" s="119"/>
    </x:row>
    <x:row r="110">
      <x:c r="A110" s="139"/>
      <x:c r="B110" s="117"/>
      <x:c r="C110" s="117"/>
      <x:c r="D110" s="117"/>
      <x:c r="E110" s="117"/>
      <x:c r="F110" s="117"/>
      <x:c r="G110" s="157"/>
      <x:c r="H110" s="156" t="str">
        <x:f>IF(F110="","",IF(F110="VND",1,IF(F110="USD",'Setup &amp; Lists'!$B$8,"")))</x:f>
      </x:c>
      <x:c r="I110" s="156" t="str">
        <x:f>IF(OR(G110="",H110=""),"",G110*H110)</x:f>
      </x:c>
      <x:c r="J110" s="115"/>
      <x:c r="K110" s="117"/>
      <x:c r="L110" s="117"/>
      <x:c r="M110" s="119"/>
    </x:row>
    <x:row r="111">
      <x:c r="A111" s="139"/>
      <x:c r="B111" s="117"/>
      <x:c r="C111" s="117"/>
      <x:c r="D111" s="117"/>
      <x:c r="E111" s="117"/>
      <x:c r="F111" s="117"/>
      <x:c r="G111" s="157"/>
      <x:c r="H111" s="156" t="str">
        <x:f>IF(F111="","",IF(F111="VND",1,IF(F111="USD",'Setup &amp; Lists'!$B$8,"")))</x:f>
      </x:c>
      <x:c r="I111" s="156" t="str">
        <x:f>IF(OR(G111="",H111=""),"",G111*H111)</x:f>
      </x:c>
      <x:c r="J111" s="115"/>
      <x:c r="K111" s="117"/>
      <x:c r="L111" s="117"/>
      <x:c r="M111" s="119"/>
    </x:row>
    <x:row r="112">
      <x:c r="A112" s="139"/>
      <x:c r="B112" s="117"/>
      <x:c r="C112" s="117"/>
      <x:c r="D112" s="117"/>
      <x:c r="E112" s="117"/>
      <x:c r="F112" s="117"/>
      <x:c r="G112" s="157"/>
      <x:c r="H112" s="156" t="str">
        <x:f>IF(F112="","",IF(F112="VND",1,IF(F112="USD",'Setup &amp; Lists'!$B$8,"")))</x:f>
      </x:c>
      <x:c r="I112" s="156" t="str">
        <x:f>IF(OR(G112="",H112=""),"",G112*H112)</x:f>
      </x:c>
      <x:c r="J112" s="115"/>
      <x:c r="K112" s="117"/>
      <x:c r="L112" s="117"/>
      <x:c r="M112" s="119"/>
    </x:row>
    <x:row r="113">
      <x:c r="A113" s="139"/>
      <x:c r="B113" s="117"/>
      <x:c r="C113" s="117"/>
      <x:c r="D113" s="117"/>
      <x:c r="E113" s="117"/>
      <x:c r="F113" s="117"/>
      <x:c r="G113" s="157"/>
      <x:c r="H113" s="156" t="str">
        <x:f>IF(F113="","",IF(F113="VND",1,IF(F113="USD",'Setup &amp; Lists'!$B$8,"")))</x:f>
      </x:c>
      <x:c r="I113" s="156" t="str">
        <x:f>IF(OR(G113="",H113=""),"",G113*H113)</x:f>
      </x:c>
      <x:c r="J113" s="115"/>
      <x:c r="K113" s="117"/>
      <x:c r="L113" s="117"/>
      <x:c r="M113" s="119"/>
    </x:row>
    <x:row r="114">
      <x:c r="A114" s="139"/>
      <x:c r="B114" s="117"/>
      <x:c r="C114" s="117"/>
      <x:c r="D114" s="117"/>
      <x:c r="E114" s="117"/>
      <x:c r="F114" s="117"/>
      <x:c r="G114" s="157"/>
      <x:c r="H114" s="156" t="str">
        <x:f>IF(F114="","",IF(F114="VND",1,IF(F114="USD",'Setup &amp; Lists'!$B$8,"")))</x:f>
      </x:c>
      <x:c r="I114" s="156" t="str">
        <x:f>IF(OR(G114="",H114=""),"",G114*H114)</x:f>
      </x:c>
      <x:c r="J114" s="115"/>
      <x:c r="K114" s="117"/>
      <x:c r="L114" s="117"/>
      <x:c r="M114" s="119"/>
    </x:row>
    <x:row r="115">
      <x:c r="A115" s="139"/>
      <x:c r="B115" s="117"/>
      <x:c r="C115" s="117"/>
      <x:c r="D115" s="117"/>
      <x:c r="E115" s="117"/>
      <x:c r="F115" s="117"/>
      <x:c r="G115" s="157"/>
      <x:c r="H115" s="156" t="str">
        <x:f>IF(F115="","",IF(F115="VND",1,IF(F115="USD",'Setup &amp; Lists'!$B$8,"")))</x:f>
      </x:c>
      <x:c r="I115" s="156" t="str">
        <x:f>IF(OR(G115="",H115=""),"",G115*H115)</x:f>
      </x:c>
      <x:c r="J115" s="115"/>
      <x:c r="K115" s="117"/>
      <x:c r="L115" s="117"/>
      <x:c r="M115" s="119"/>
    </x:row>
    <x:row r="116">
      <x:c r="A116" s="139"/>
      <x:c r="B116" s="117"/>
      <x:c r="C116" s="117"/>
      <x:c r="D116" s="117"/>
      <x:c r="E116" s="117"/>
      <x:c r="F116" s="117"/>
      <x:c r="G116" s="157"/>
      <x:c r="H116" s="156" t="str">
        <x:f>IF(F116="","",IF(F116="VND",1,IF(F116="USD",'Setup &amp; Lists'!$B$8,"")))</x:f>
      </x:c>
      <x:c r="I116" s="156" t="str">
        <x:f>IF(OR(G116="",H116=""),"",G116*H116)</x:f>
      </x:c>
      <x:c r="J116" s="115"/>
      <x:c r="K116" s="117"/>
      <x:c r="L116" s="117"/>
      <x:c r="M116" s="119"/>
    </x:row>
    <x:row r="117">
      <x:c r="A117" s="139"/>
      <x:c r="B117" s="117"/>
      <x:c r="C117" s="117"/>
      <x:c r="D117" s="117"/>
      <x:c r="E117" s="117"/>
      <x:c r="F117" s="117"/>
      <x:c r="G117" s="157"/>
      <x:c r="H117" s="156" t="str">
        <x:f>IF(F117="","",IF(F117="VND",1,IF(F117="USD",'Setup &amp; Lists'!$B$8,"")))</x:f>
      </x:c>
      <x:c r="I117" s="156" t="str">
        <x:f>IF(OR(G117="",H117=""),"",G117*H117)</x:f>
      </x:c>
      <x:c r="J117" s="115"/>
      <x:c r="K117" s="117"/>
      <x:c r="L117" s="117"/>
      <x:c r="M117" s="119"/>
    </x:row>
    <x:row r="118">
      <x:c r="A118" s="139"/>
      <x:c r="B118" s="117"/>
      <x:c r="C118" s="117"/>
      <x:c r="D118" s="117"/>
      <x:c r="E118" s="117"/>
      <x:c r="F118" s="117"/>
      <x:c r="G118" s="157"/>
      <x:c r="H118" s="156" t="str">
        <x:f>IF(F118="","",IF(F118="VND",1,IF(F118="USD",'Setup &amp; Lists'!$B$8,"")))</x:f>
      </x:c>
      <x:c r="I118" s="156" t="str">
        <x:f>IF(OR(G118="",H118=""),"",G118*H118)</x:f>
      </x:c>
      <x:c r="J118" s="115"/>
      <x:c r="K118" s="117"/>
      <x:c r="L118" s="117"/>
      <x:c r="M118" s="119"/>
    </x:row>
    <x:row r="119">
      <x:c r="A119" s="139"/>
      <x:c r="B119" s="117"/>
      <x:c r="C119" s="117"/>
      <x:c r="D119" s="117"/>
      <x:c r="E119" s="117"/>
      <x:c r="F119" s="117"/>
      <x:c r="G119" s="157"/>
      <x:c r="H119" s="156" t="str">
        <x:f>IF(F119="","",IF(F119="VND",1,IF(F119="USD",'Setup &amp; Lists'!$B$8,"")))</x:f>
      </x:c>
      <x:c r="I119" s="156" t="str">
        <x:f>IF(OR(G119="",H119=""),"",G119*H119)</x:f>
      </x:c>
      <x:c r="J119" s="115"/>
      <x:c r="K119" s="117"/>
      <x:c r="L119" s="117"/>
      <x:c r="M119" s="119"/>
    </x:row>
    <x:row r="120">
      <x:c r="A120" s="139"/>
      <x:c r="B120" s="117"/>
      <x:c r="C120" s="117"/>
      <x:c r="D120" s="117"/>
      <x:c r="E120" s="117"/>
      <x:c r="F120" s="117"/>
      <x:c r="G120" s="157"/>
      <x:c r="H120" s="156" t="str">
        <x:f>IF(F120="","",IF(F120="VND",1,IF(F120="USD",'Setup &amp; Lists'!$B$8,"")))</x:f>
      </x:c>
      <x:c r="I120" s="156" t="str">
        <x:f>IF(OR(G120="",H120=""),"",G120*H120)</x:f>
      </x:c>
      <x:c r="J120" s="115"/>
      <x:c r="K120" s="117"/>
      <x:c r="L120" s="117"/>
      <x:c r="M120" s="119"/>
    </x:row>
    <x:row r="121">
      <x:c r="A121" s="139"/>
      <x:c r="B121" s="117"/>
      <x:c r="C121" s="117"/>
      <x:c r="D121" s="117"/>
      <x:c r="E121" s="117"/>
      <x:c r="F121" s="117"/>
      <x:c r="G121" s="157"/>
      <x:c r="H121" s="156" t="str">
        <x:f>IF(F121="","",IF(F121="VND",1,IF(F121="USD",'Setup &amp; Lists'!$B$8,"")))</x:f>
      </x:c>
      <x:c r="I121" s="156" t="str">
        <x:f>IF(OR(G121="",H121=""),"",G121*H121)</x:f>
      </x:c>
      <x:c r="J121" s="115"/>
      <x:c r="K121" s="117"/>
      <x:c r="L121" s="117"/>
      <x:c r="M121" s="119"/>
    </x:row>
    <x:row r="122">
      <x:c r="A122" s="139"/>
      <x:c r="B122" s="117"/>
      <x:c r="C122" s="117"/>
      <x:c r="D122" s="117"/>
      <x:c r="E122" s="117"/>
      <x:c r="F122" s="117"/>
      <x:c r="G122" s="157"/>
      <x:c r="H122" s="156" t="str">
        <x:f>IF(F122="","",IF(F122="VND",1,IF(F122="USD",'Setup &amp; Lists'!$B$8,"")))</x:f>
      </x:c>
      <x:c r="I122" s="156" t="str">
        <x:f>IF(OR(G122="",H122=""),"",G122*H122)</x:f>
      </x:c>
      <x:c r="J122" s="115"/>
      <x:c r="K122" s="117"/>
      <x:c r="L122" s="117"/>
      <x:c r="M122" s="119"/>
    </x:row>
    <x:row r="123">
      <x:c r="A123" s="139"/>
      <x:c r="B123" s="117"/>
      <x:c r="C123" s="117"/>
      <x:c r="D123" s="117"/>
      <x:c r="E123" s="117"/>
      <x:c r="F123" s="117"/>
      <x:c r="G123" s="157"/>
      <x:c r="H123" s="156" t="str">
        <x:f>IF(F123="","",IF(F123="VND",1,IF(F123="USD",'Setup &amp; Lists'!$B$8,"")))</x:f>
      </x:c>
      <x:c r="I123" s="156" t="str">
        <x:f>IF(OR(G123="",H123=""),"",G123*H123)</x:f>
      </x:c>
      <x:c r="J123" s="115"/>
      <x:c r="K123" s="117"/>
      <x:c r="L123" s="117"/>
      <x:c r="M123" s="119"/>
    </x:row>
    <x:row r="124">
      <x:c r="A124" s="139"/>
      <x:c r="B124" s="117"/>
      <x:c r="C124" s="117"/>
      <x:c r="D124" s="117"/>
      <x:c r="E124" s="117"/>
      <x:c r="F124" s="117"/>
      <x:c r="G124" s="157"/>
      <x:c r="H124" s="156" t="str">
        <x:f>IF(F124="","",IF(F124="VND",1,IF(F124="USD",'Setup &amp; Lists'!$B$8,"")))</x:f>
      </x:c>
      <x:c r="I124" s="156" t="str">
        <x:f>IF(OR(G124="",H124=""),"",G124*H124)</x:f>
      </x:c>
      <x:c r="J124" s="115"/>
      <x:c r="K124" s="117"/>
      <x:c r="L124" s="117"/>
      <x:c r="M124" s="119"/>
    </x:row>
    <x:row r="125">
      <x:c r="A125" s="139"/>
      <x:c r="B125" s="117"/>
      <x:c r="C125" s="117"/>
      <x:c r="D125" s="117"/>
      <x:c r="E125" s="117"/>
      <x:c r="F125" s="117"/>
      <x:c r="G125" s="157"/>
      <x:c r="H125" s="156" t="str">
        <x:f>IF(F125="","",IF(F125="VND",1,IF(F125="USD",'Setup &amp; Lists'!$B$8,"")))</x:f>
      </x:c>
      <x:c r="I125" s="156" t="str">
        <x:f>IF(OR(G125="",H125=""),"",G125*H125)</x:f>
      </x:c>
      <x:c r="J125" s="115"/>
      <x:c r="K125" s="117"/>
      <x:c r="L125" s="117"/>
      <x:c r="M125" s="119"/>
    </x:row>
    <x:row r="126">
      <x:c r="A126" s="139"/>
      <x:c r="B126" s="117"/>
      <x:c r="C126" s="117"/>
      <x:c r="D126" s="117"/>
      <x:c r="E126" s="117"/>
      <x:c r="F126" s="117"/>
      <x:c r="G126" s="157"/>
      <x:c r="H126" s="156" t="str">
        <x:f>IF(F126="","",IF(F126="VND",1,IF(F126="USD",'Setup &amp; Lists'!$B$8,"")))</x:f>
      </x:c>
      <x:c r="I126" s="156" t="str">
        <x:f>IF(OR(G126="",H126=""),"",G126*H126)</x:f>
      </x:c>
      <x:c r="J126" s="115"/>
      <x:c r="K126" s="117"/>
      <x:c r="L126" s="117"/>
      <x:c r="M126" s="119"/>
    </x:row>
    <x:row r="127">
      <x:c r="A127" s="139"/>
      <x:c r="B127" s="117"/>
      <x:c r="C127" s="117"/>
      <x:c r="D127" s="117"/>
      <x:c r="E127" s="117"/>
      <x:c r="F127" s="117"/>
      <x:c r="G127" s="157"/>
      <x:c r="H127" s="156" t="str">
        <x:f>IF(F127="","",IF(F127="VND",1,IF(F127="USD",'Setup &amp; Lists'!$B$8,"")))</x:f>
      </x:c>
      <x:c r="I127" s="156" t="str">
        <x:f>IF(OR(G127="",H127=""),"",G127*H127)</x:f>
      </x:c>
      <x:c r="J127" s="115"/>
      <x:c r="K127" s="117"/>
      <x:c r="L127" s="117"/>
      <x:c r="M127" s="119"/>
    </x:row>
    <x:row r="128">
      <x:c r="A128" s="139"/>
      <x:c r="B128" s="117"/>
      <x:c r="C128" s="117"/>
      <x:c r="D128" s="117"/>
      <x:c r="E128" s="117"/>
      <x:c r="F128" s="117"/>
      <x:c r="G128" s="157"/>
      <x:c r="H128" s="156" t="str">
        <x:f>IF(F128="","",IF(F128="VND",1,IF(F128="USD",'Setup &amp; Lists'!$B$8,"")))</x:f>
      </x:c>
      <x:c r="I128" s="156" t="str">
        <x:f>IF(OR(G128="",H128=""),"",G128*H128)</x:f>
      </x:c>
      <x:c r="J128" s="115"/>
      <x:c r="K128" s="117"/>
      <x:c r="L128" s="117"/>
      <x:c r="M128" s="119"/>
    </x:row>
    <x:row r="129">
      <x:c r="A129" s="139"/>
      <x:c r="B129" s="117"/>
      <x:c r="C129" s="117"/>
      <x:c r="D129" s="117"/>
      <x:c r="E129" s="117"/>
      <x:c r="F129" s="117"/>
      <x:c r="G129" s="157"/>
      <x:c r="H129" s="156" t="str">
        <x:f>IF(F129="","",IF(F129="VND",1,IF(F129="USD",'Setup &amp; Lists'!$B$8,"")))</x:f>
      </x:c>
      <x:c r="I129" s="156" t="str">
        <x:f>IF(OR(G129="",H129=""),"",G129*H129)</x:f>
      </x:c>
      <x:c r="J129" s="115"/>
      <x:c r="K129" s="117"/>
      <x:c r="L129" s="117"/>
      <x:c r="M129" s="119"/>
    </x:row>
    <x:row r="130">
      <x:c r="A130" s="139"/>
      <x:c r="B130" s="117"/>
      <x:c r="C130" s="117"/>
      <x:c r="D130" s="117"/>
      <x:c r="E130" s="117"/>
      <x:c r="F130" s="117"/>
      <x:c r="G130" s="157"/>
      <x:c r="H130" s="156" t="str">
        <x:f>IF(F130="","",IF(F130="VND",1,IF(F130="USD",'Setup &amp; Lists'!$B$8,"")))</x:f>
      </x:c>
      <x:c r="I130" s="156" t="str">
        <x:f>IF(OR(G130="",H130=""),"",G130*H130)</x:f>
      </x:c>
      <x:c r="J130" s="115"/>
      <x:c r="K130" s="117"/>
      <x:c r="L130" s="117"/>
      <x:c r="M130" s="119"/>
    </x:row>
    <x:row r="131">
      <x:c r="A131" s="139"/>
      <x:c r="B131" s="117"/>
      <x:c r="C131" s="117"/>
      <x:c r="D131" s="117"/>
      <x:c r="E131" s="117"/>
      <x:c r="F131" s="117"/>
      <x:c r="G131" s="157"/>
      <x:c r="H131" s="156" t="str">
        <x:f>IF(F131="","",IF(F131="VND",1,IF(F131="USD",'Setup &amp; Lists'!$B$8,"")))</x:f>
      </x:c>
      <x:c r="I131" s="156" t="str">
        <x:f>IF(OR(G131="",H131=""),"",G131*H131)</x:f>
      </x:c>
      <x:c r="J131" s="115"/>
      <x:c r="K131" s="117"/>
      <x:c r="L131" s="117"/>
      <x:c r="M131" s="119"/>
    </x:row>
    <x:row r="132">
      <x:c r="A132" s="139"/>
      <x:c r="B132" s="117"/>
      <x:c r="C132" s="117"/>
      <x:c r="D132" s="117"/>
      <x:c r="E132" s="117"/>
      <x:c r="F132" s="117"/>
      <x:c r="G132" s="157"/>
      <x:c r="H132" s="156" t="str">
        <x:f>IF(F132="","",IF(F132="VND",1,IF(F132="USD",'Setup &amp; Lists'!$B$8,"")))</x:f>
      </x:c>
      <x:c r="I132" s="156" t="str">
        <x:f>IF(OR(G132="",H132=""),"",G132*H132)</x:f>
      </x:c>
      <x:c r="J132" s="115"/>
      <x:c r="K132" s="117"/>
      <x:c r="L132" s="117"/>
      <x:c r="M132" s="119"/>
    </x:row>
    <x:row r="133">
      <x:c r="A133" s="139"/>
      <x:c r="B133" s="117"/>
      <x:c r="C133" s="117"/>
      <x:c r="D133" s="117"/>
      <x:c r="E133" s="117"/>
      <x:c r="F133" s="117"/>
      <x:c r="G133" s="157"/>
      <x:c r="H133" s="156" t="str">
        <x:f>IF(F133="","",IF(F133="VND",1,IF(F133="USD",'Setup &amp; Lists'!$B$8,"")))</x:f>
      </x:c>
      <x:c r="I133" s="156" t="str">
        <x:f>IF(OR(G133="",H133=""),"",G133*H133)</x:f>
      </x:c>
      <x:c r="J133" s="115"/>
      <x:c r="K133" s="117"/>
      <x:c r="L133" s="117"/>
      <x:c r="M133" s="119"/>
    </x:row>
    <x:row r="134">
      <x:c r="A134" s="139"/>
      <x:c r="B134" s="117"/>
      <x:c r="C134" s="117"/>
      <x:c r="D134" s="117"/>
      <x:c r="E134" s="117"/>
      <x:c r="F134" s="117"/>
      <x:c r="G134" s="157"/>
      <x:c r="H134" s="156" t="str">
        <x:f>IF(F134="","",IF(F134="VND",1,IF(F134="USD",'Setup &amp; Lists'!$B$8,"")))</x:f>
      </x:c>
      <x:c r="I134" s="156" t="str">
        <x:f>IF(OR(G134="",H134=""),"",G134*H134)</x:f>
      </x:c>
      <x:c r="J134" s="115"/>
      <x:c r="K134" s="117"/>
      <x:c r="L134" s="117"/>
      <x:c r="M134" s="119"/>
    </x:row>
    <x:row r="135">
      <x:c r="A135" s="139"/>
      <x:c r="B135" s="117"/>
      <x:c r="C135" s="117"/>
      <x:c r="D135" s="117"/>
      <x:c r="E135" s="117"/>
      <x:c r="F135" s="117"/>
      <x:c r="G135" s="157"/>
      <x:c r="H135" s="156" t="str">
        <x:f>IF(F135="","",IF(F135="VND",1,IF(F135="USD",'Setup &amp; Lists'!$B$8,"")))</x:f>
      </x:c>
      <x:c r="I135" s="156" t="str">
        <x:f>IF(OR(G135="",H135=""),"",G135*H135)</x:f>
      </x:c>
      <x:c r="J135" s="115"/>
      <x:c r="K135" s="117"/>
      <x:c r="L135" s="117"/>
      <x:c r="M135" s="119"/>
    </x:row>
    <x:row r="136">
      <x:c r="A136" s="139"/>
      <x:c r="B136" s="117"/>
      <x:c r="C136" s="117"/>
      <x:c r="D136" s="117"/>
      <x:c r="E136" s="117"/>
      <x:c r="F136" s="117"/>
      <x:c r="G136" s="157"/>
      <x:c r="H136" s="156" t="str">
        <x:f>IF(F136="","",IF(F136="VND",1,IF(F136="USD",'Setup &amp; Lists'!$B$8,"")))</x:f>
      </x:c>
      <x:c r="I136" s="156" t="str">
        <x:f>IF(OR(G136="",H136=""),"",G136*H136)</x:f>
      </x:c>
      <x:c r="J136" s="115"/>
      <x:c r="K136" s="117"/>
      <x:c r="L136" s="117"/>
      <x:c r="M136" s="119"/>
    </x:row>
    <x:row r="137">
      <x:c r="A137" s="139"/>
      <x:c r="B137" s="117"/>
      <x:c r="C137" s="117"/>
      <x:c r="D137" s="117"/>
      <x:c r="E137" s="117"/>
      <x:c r="F137" s="117"/>
      <x:c r="G137" s="157"/>
      <x:c r="H137" s="156" t="str">
        <x:f>IF(F137="","",IF(F137="VND",1,IF(F137="USD",'Setup &amp; Lists'!$B$8,"")))</x:f>
      </x:c>
      <x:c r="I137" s="156" t="str">
        <x:f>IF(OR(G137="",H137=""),"",G137*H137)</x:f>
      </x:c>
      <x:c r="J137" s="115"/>
      <x:c r="K137" s="117"/>
      <x:c r="L137" s="117"/>
      <x:c r="M137" s="119"/>
    </x:row>
    <x:row r="138">
      <x:c r="A138" s="139"/>
      <x:c r="B138" s="117"/>
      <x:c r="C138" s="117"/>
      <x:c r="D138" s="117"/>
      <x:c r="E138" s="117"/>
      <x:c r="F138" s="117"/>
      <x:c r="G138" s="157"/>
      <x:c r="H138" s="156" t="str">
        <x:f>IF(F138="","",IF(F138="VND",1,IF(F138="USD",'Setup &amp; Lists'!$B$8,"")))</x:f>
      </x:c>
      <x:c r="I138" s="156" t="str">
        <x:f>IF(OR(G138="",H138=""),"",G138*H138)</x:f>
      </x:c>
      <x:c r="J138" s="115"/>
      <x:c r="K138" s="117"/>
      <x:c r="L138" s="117"/>
      <x:c r="M138" s="119"/>
    </x:row>
    <x:row r="139">
      <x:c r="A139" s="139"/>
      <x:c r="B139" s="117"/>
      <x:c r="C139" s="117"/>
      <x:c r="D139" s="117"/>
      <x:c r="E139" s="117"/>
      <x:c r="F139" s="117"/>
      <x:c r="G139" s="157"/>
      <x:c r="H139" s="156" t="str">
        <x:f>IF(F139="","",IF(F139="VND",1,IF(F139="USD",'Setup &amp; Lists'!$B$8,"")))</x:f>
      </x:c>
      <x:c r="I139" s="156" t="str">
        <x:f>IF(OR(G139="",H139=""),"",G139*H139)</x:f>
      </x:c>
      <x:c r="J139" s="115"/>
      <x:c r="K139" s="117"/>
      <x:c r="L139" s="117"/>
      <x:c r="M139" s="119"/>
    </x:row>
    <x:row r="140">
      <x:c r="A140" s="139"/>
      <x:c r="B140" s="117"/>
      <x:c r="C140" s="117"/>
      <x:c r="D140" s="117"/>
      <x:c r="E140" s="117"/>
      <x:c r="F140" s="117"/>
      <x:c r="G140" s="157"/>
      <x:c r="H140" s="156" t="str">
        <x:f>IF(F140="","",IF(F140="VND",1,IF(F140="USD",'Setup &amp; Lists'!$B$8,"")))</x:f>
      </x:c>
      <x:c r="I140" s="156" t="str">
        <x:f>IF(OR(G140="",H140=""),"",G140*H140)</x:f>
      </x:c>
      <x:c r="J140" s="115"/>
      <x:c r="K140" s="117"/>
      <x:c r="L140" s="117"/>
      <x:c r="M140" s="119"/>
    </x:row>
    <x:row r="141">
      <x:c r="A141" s="139"/>
      <x:c r="B141" s="117"/>
      <x:c r="C141" s="117"/>
      <x:c r="D141" s="117"/>
      <x:c r="E141" s="117"/>
      <x:c r="F141" s="117"/>
      <x:c r="G141" s="157"/>
      <x:c r="H141" s="156" t="str">
        <x:f>IF(F141="","",IF(F141="VND",1,IF(F141="USD",'Setup &amp; Lists'!$B$8,"")))</x:f>
      </x:c>
      <x:c r="I141" s="156" t="str">
        <x:f>IF(OR(G141="",H141=""),"",G141*H141)</x:f>
      </x:c>
      <x:c r="J141" s="115"/>
      <x:c r="K141" s="117"/>
      <x:c r="L141" s="117"/>
      <x:c r="M141" s="119"/>
    </x:row>
    <x:row r="142">
      <x:c r="A142" s="139"/>
      <x:c r="B142" s="117"/>
      <x:c r="C142" s="117"/>
      <x:c r="D142" s="117"/>
      <x:c r="E142" s="117"/>
      <x:c r="F142" s="117"/>
      <x:c r="G142" s="157"/>
      <x:c r="H142" s="156" t="str">
        <x:f>IF(F142="","",IF(F142="VND",1,IF(F142="USD",'Setup &amp; Lists'!$B$8,"")))</x:f>
      </x:c>
      <x:c r="I142" s="156" t="str">
        <x:f>IF(OR(G142="",H142=""),"",G142*H142)</x:f>
      </x:c>
      <x:c r="J142" s="115"/>
      <x:c r="K142" s="117"/>
      <x:c r="L142" s="117"/>
      <x:c r="M142" s="119"/>
    </x:row>
    <x:row r="143">
      <x:c r="A143" s="139"/>
      <x:c r="B143" s="117"/>
      <x:c r="C143" s="117"/>
      <x:c r="D143" s="117"/>
      <x:c r="E143" s="117"/>
      <x:c r="F143" s="117"/>
      <x:c r="G143" s="157"/>
      <x:c r="H143" s="156" t="str">
        <x:f>IF(F143="","",IF(F143="VND",1,IF(F143="USD",'Setup &amp; Lists'!$B$8,"")))</x:f>
      </x:c>
      <x:c r="I143" s="156" t="str">
        <x:f>IF(OR(G143="",H143=""),"",G143*H143)</x:f>
      </x:c>
      <x:c r="J143" s="115"/>
      <x:c r="K143" s="117"/>
      <x:c r="L143" s="117"/>
      <x:c r="M143" s="119"/>
    </x:row>
    <x:row r="144">
      <x:c r="A144" s="139"/>
      <x:c r="B144" s="117"/>
      <x:c r="C144" s="117"/>
      <x:c r="D144" s="117"/>
      <x:c r="E144" s="117"/>
      <x:c r="F144" s="117"/>
      <x:c r="G144" s="157"/>
      <x:c r="H144" s="156" t="str">
        <x:f>IF(F144="","",IF(F144="VND",1,IF(F144="USD",'Setup &amp; Lists'!$B$8,"")))</x:f>
      </x:c>
      <x:c r="I144" s="156" t="str">
        <x:f>IF(OR(G144="",H144=""),"",G144*H144)</x:f>
      </x:c>
      <x:c r="J144" s="115"/>
      <x:c r="K144" s="117"/>
      <x:c r="L144" s="117"/>
      <x:c r="M144" s="119"/>
    </x:row>
    <x:row r="145">
      <x:c r="A145" s="139"/>
      <x:c r="B145" s="117"/>
      <x:c r="C145" s="117"/>
      <x:c r="D145" s="117"/>
      <x:c r="E145" s="117"/>
      <x:c r="F145" s="117"/>
      <x:c r="G145" s="157"/>
      <x:c r="H145" s="156" t="str">
        <x:f>IF(F145="","",IF(F145="VND",1,IF(F145="USD",'Setup &amp; Lists'!$B$8,"")))</x:f>
      </x:c>
      <x:c r="I145" s="156" t="str">
        <x:f>IF(OR(G145="",H145=""),"",G145*H145)</x:f>
      </x:c>
      <x:c r="J145" s="115"/>
      <x:c r="K145" s="117"/>
      <x:c r="L145" s="117"/>
      <x:c r="M145" s="119"/>
    </x:row>
    <x:row r="146">
      <x:c r="A146" s="139"/>
      <x:c r="B146" s="117"/>
      <x:c r="C146" s="117"/>
      <x:c r="D146" s="117"/>
      <x:c r="E146" s="117"/>
      <x:c r="F146" s="117"/>
      <x:c r="G146" s="157"/>
      <x:c r="H146" s="156" t="str">
        <x:f>IF(F146="","",IF(F146="VND",1,IF(F146="USD",'Setup &amp; Lists'!$B$8,"")))</x:f>
      </x:c>
      <x:c r="I146" s="156" t="str">
        <x:f>IF(OR(G146="",H146=""),"",G146*H146)</x:f>
      </x:c>
      <x:c r="J146" s="115"/>
      <x:c r="K146" s="117"/>
      <x:c r="L146" s="117"/>
      <x:c r="M146" s="119"/>
    </x:row>
    <x:row r="147">
      <x:c r="A147" s="139"/>
      <x:c r="B147" s="117"/>
      <x:c r="C147" s="117"/>
      <x:c r="D147" s="117"/>
      <x:c r="E147" s="117"/>
      <x:c r="F147" s="117"/>
      <x:c r="G147" s="157"/>
      <x:c r="H147" s="156" t="str">
        <x:f>IF(F147="","",IF(F147="VND",1,IF(F147="USD",'Setup &amp; Lists'!$B$8,"")))</x:f>
      </x:c>
      <x:c r="I147" s="156" t="str">
        <x:f>IF(OR(G147="",H147=""),"",G147*H147)</x:f>
      </x:c>
      <x:c r="J147" s="115"/>
      <x:c r="K147" s="117"/>
      <x:c r="L147" s="117"/>
      <x:c r="M147" s="119"/>
    </x:row>
    <x:row r="148">
      <x:c r="A148" s="139"/>
      <x:c r="B148" s="117"/>
      <x:c r="C148" s="117"/>
      <x:c r="D148" s="117"/>
      <x:c r="E148" s="117"/>
      <x:c r="F148" s="117"/>
      <x:c r="G148" s="157"/>
      <x:c r="H148" s="156" t="str">
        <x:f>IF(F148="","",IF(F148="VND",1,IF(F148="USD",'Setup &amp; Lists'!$B$8,"")))</x:f>
      </x:c>
      <x:c r="I148" s="156" t="str">
        <x:f>IF(OR(G148="",H148=""),"",G148*H148)</x:f>
      </x:c>
      <x:c r="J148" s="115"/>
      <x:c r="K148" s="117"/>
      <x:c r="L148" s="117"/>
      <x:c r="M148" s="119"/>
    </x:row>
    <x:row r="149">
      <x:c r="A149" s="139"/>
      <x:c r="B149" s="117"/>
      <x:c r="C149" s="117"/>
      <x:c r="D149" s="117"/>
      <x:c r="E149" s="117"/>
      <x:c r="F149" s="117"/>
      <x:c r="G149" s="157"/>
      <x:c r="H149" s="156" t="str">
        <x:f>IF(F149="","",IF(F149="VND",1,IF(F149="USD",'Setup &amp; Lists'!$B$8,"")))</x:f>
      </x:c>
      <x:c r="I149" s="156" t="str">
        <x:f>IF(OR(G149="",H149=""),"",G149*H149)</x:f>
      </x:c>
      <x:c r="J149" s="115"/>
      <x:c r="K149" s="117"/>
      <x:c r="L149" s="117"/>
      <x:c r="M149" s="119"/>
    </x:row>
    <x:row r="150">
      <x:c r="A150" s="139"/>
      <x:c r="B150" s="117"/>
      <x:c r="C150" s="117"/>
      <x:c r="D150" s="117"/>
      <x:c r="E150" s="117"/>
      <x:c r="F150" s="117"/>
      <x:c r="G150" s="157"/>
      <x:c r="H150" s="156" t="str">
        <x:f>IF(F150="","",IF(F150="VND",1,IF(F150="USD",'Setup &amp; Lists'!$B$8,"")))</x:f>
      </x:c>
      <x:c r="I150" s="156" t="str">
        <x:f>IF(OR(G150="",H150=""),"",G150*H150)</x:f>
      </x:c>
      <x:c r="J150" s="115"/>
      <x:c r="K150" s="117"/>
      <x:c r="L150" s="117"/>
      <x:c r="M150" s="119"/>
    </x:row>
    <x:row r="151">
      <x:c r="A151" s="139"/>
      <x:c r="B151" s="117"/>
      <x:c r="C151" s="117"/>
      <x:c r="D151" s="117"/>
      <x:c r="E151" s="117"/>
      <x:c r="F151" s="117"/>
      <x:c r="G151" s="157"/>
      <x:c r="H151" s="156" t="str">
        <x:f>IF(F151="","",IF(F151="VND",1,IF(F151="USD",'Setup &amp; Lists'!$B$8,"")))</x:f>
      </x:c>
      <x:c r="I151" s="156" t="str">
        <x:f>IF(OR(G151="",H151=""),"",G151*H151)</x:f>
      </x:c>
      <x:c r="J151" s="115"/>
      <x:c r="K151" s="117"/>
      <x:c r="L151" s="117"/>
      <x:c r="M151" s="119"/>
    </x:row>
    <x:row r="152">
      <x:c r="A152" s="139"/>
      <x:c r="B152" s="117"/>
      <x:c r="C152" s="117"/>
      <x:c r="D152" s="117"/>
      <x:c r="E152" s="117"/>
      <x:c r="F152" s="117"/>
      <x:c r="G152" s="157"/>
      <x:c r="H152" s="156" t="str">
        <x:f>IF(F152="","",IF(F152="VND",1,IF(F152="USD",'Setup &amp; Lists'!$B$8,"")))</x:f>
      </x:c>
      <x:c r="I152" s="156" t="str">
        <x:f>IF(OR(G152="",H152=""),"",G152*H152)</x:f>
      </x:c>
      <x:c r="J152" s="115"/>
      <x:c r="K152" s="117"/>
      <x:c r="L152" s="117"/>
      <x:c r="M152" s="119"/>
    </x:row>
    <x:row r="153">
      <x:c r="A153" s="139"/>
      <x:c r="B153" s="117"/>
      <x:c r="C153" s="117"/>
      <x:c r="D153" s="117"/>
      <x:c r="E153" s="117"/>
      <x:c r="F153" s="117"/>
      <x:c r="G153" s="157"/>
      <x:c r="H153" s="156" t="str">
        <x:f>IF(F153="","",IF(F153="VND",1,IF(F153="USD",'Setup &amp; Lists'!$B$8,"")))</x:f>
      </x:c>
      <x:c r="I153" s="156" t="str">
        <x:f>IF(OR(G153="",H153=""),"",G153*H153)</x:f>
      </x:c>
      <x:c r="J153" s="115"/>
      <x:c r="K153" s="117"/>
      <x:c r="L153" s="117"/>
      <x:c r="M153" s="119"/>
    </x:row>
    <x:row r="154">
      <x:c r="A154" s="139"/>
      <x:c r="B154" s="117"/>
      <x:c r="C154" s="117"/>
      <x:c r="D154" s="117"/>
      <x:c r="E154" s="117"/>
      <x:c r="F154" s="117"/>
      <x:c r="G154" s="157"/>
      <x:c r="H154" s="156" t="str">
        <x:f>IF(F154="","",IF(F154="VND",1,IF(F154="USD",'Setup &amp; Lists'!$B$8,"")))</x:f>
      </x:c>
      <x:c r="I154" s="156" t="str">
        <x:f>IF(OR(G154="",H154=""),"",G154*H154)</x:f>
      </x:c>
      <x:c r="J154" s="115"/>
      <x:c r="K154" s="117"/>
      <x:c r="L154" s="117"/>
      <x:c r="M154" s="119"/>
    </x:row>
    <x:row r="155">
      <x:c r="A155" s="139"/>
      <x:c r="B155" s="117"/>
      <x:c r="C155" s="117"/>
      <x:c r="D155" s="117"/>
      <x:c r="E155" s="117"/>
      <x:c r="F155" s="117"/>
      <x:c r="G155" s="157"/>
      <x:c r="H155" s="156" t="str">
        <x:f>IF(F155="","",IF(F155="VND",1,IF(F155="USD",'Setup &amp; Lists'!$B$8,"")))</x:f>
      </x:c>
      <x:c r="I155" s="156" t="str">
        <x:f>IF(OR(G155="",H155=""),"",G155*H155)</x:f>
      </x:c>
      <x:c r="J155" s="115"/>
      <x:c r="K155" s="117"/>
      <x:c r="L155" s="117"/>
      <x:c r="M155" s="119"/>
    </x:row>
    <x:row r="156">
      <x:c r="A156" s="139"/>
      <x:c r="B156" s="117"/>
      <x:c r="C156" s="117"/>
      <x:c r="D156" s="117"/>
      <x:c r="E156" s="117"/>
      <x:c r="F156" s="117"/>
      <x:c r="G156" s="157"/>
      <x:c r="H156" s="156" t="str">
        <x:f>IF(F156="","",IF(F156="VND",1,IF(F156="USD",'Setup &amp; Lists'!$B$8,"")))</x:f>
      </x:c>
      <x:c r="I156" s="156" t="str">
        <x:f>IF(OR(G156="",H156=""),"",G156*H156)</x:f>
      </x:c>
      <x:c r="J156" s="115"/>
      <x:c r="K156" s="117"/>
      <x:c r="L156" s="117"/>
      <x:c r="M156" s="119"/>
    </x:row>
    <x:row r="157">
      <x:c r="A157" s="139"/>
      <x:c r="B157" s="117"/>
      <x:c r="C157" s="117"/>
      <x:c r="D157" s="117"/>
      <x:c r="E157" s="117"/>
      <x:c r="F157" s="117"/>
      <x:c r="G157" s="157"/>
      <x:c r="H157" s="156" t="str">
        <x:f>IF(F157="","",IF(F157="VND",1,IF(F157="USD",'Setup &amp; Lists'!$B$8,"")))</x:f>
      </x:c>
      <x:c r="I157" s="156" t="str">
        <x:f>IF(OR(G157="",H157=""),"",G157*H157)</x:f>
      </x:c>
      <x:c r="J157" s="115"/>
      <x:c r="K157" s="117"/>
      <x:c r="L157" s="117"/>
      <x:c r="M157" s="119"/>
    </x:row>
    <x:row r="158">
      <x:c r="A158" s="139"/>
      <x:c r="B158" s="117"/>
      <x:c r="C158" s="117"/>
      <x:c r="D158" s="117"/>
      <x:c r="E158" s="117"/>
      <x:c r="F158" s="117"/>
      <x:c r="G158" s="157"/>
      <x:c r="H158" s="156" t="str">
        <x:f>IF(F158="","",IF(F158="VND",1,IF(F158="USD",'Setup &amp; Lists'!$B$8,"")))</x:f>
      </x:c>
      <x:c r="I158" s="156" t="str">
        <x:f>IF(OR(G158="",H158=""),"",G158*H158)</x:f>
      </x:c>
      <x:c r="J158" s="115"/>
      <x:c r="K158" s="117"/>
      <x:c r="L158" s="117"/>
      <x:c r="M158" s="119"/>
    </x:row>
    <x:row r="159">
      <x:c r="A159" s="139"/>
      <x:c r="B159" s="117"/>
      <x:c r="C159" s="117"/>
      <x:c r="D159" s="117"/>
      <x:c r="E159" s="117"/>
      <x:c r="F159" s="117"/>
      <x:c r="G159" s="157"/>
      <x:c r="H159" s="156" t="str">
        <x:f>IF(F159="","",IF(F159="VND",1,IF(F159="USD",'Setup &amp; Lists'!$B$8,"")))</x:f>
      </x:c>
      <x:c r="I159" s="156" t="str">
        <x:f>IF(OR(G159="",H159=""),"",G159*H159)</x:f>
      </x:c>
      <x:c r="J159" s="115"/>
      <x:c r="K159" s="117"/>
      <x:c r="L159" s="117"/>
      <x:c r="M159" s="119"/>
    </x:row>
    <x:row r="160">
      <x:c r="A160" s="139"/>
      <x:c r="B160" s="117"/>
      <x:c r="C160" s="117"/>
      <x:c r="D160" s="117"/>
      <x:c r="E160" s="117"/>
      <x:c r="F160" s="117"/>
      <x:c r="G160" s="157"/>
      <x:c r="H160" s="156" t="str">
        <x:f>IF(F160="","",IF(F160="VND",1,IF(F160="USD",'Setup &amp; Lists'!$B$8,"")))</x:f>
      </x:c>
      <x:c r="I160" s="156" t="str">
        <x:f>IF(OR(G160="",H160=""),"",G160*H160)</x:f>
      </x:c>
      <x:c r="J160" s="115"/>
      <x:c r="K160" s="117"/>
      <x:c r="L160" s="117"/>
      <x:c r="M160" s="119"/>
    </x:row>
    <x:row r="161">
      <x:c r="A161" s="139"/>
      <x:c r="B161" s="117"/>
      <x:c r="C161" s="117"/>
      <x:c r="D161" s="117"/>
      <x:c r="E161" s="117"/>
      <x:c r="F161" s="117"/>
      <x:c r="G161" s="157"/>
      <x:c r="H161" s="156" t="str">
        <x:f>IF(F161="","",IF(F161="VND",1,IF(F161="USD",'Setup &amp; Lists'!$B$8,"")))</x:f>
      </x:c>
      <x:c r="I161" s="156" t="str">
        <x:f>IF(OR(G161="",H161=""),"",G161*H161)</x:f>
      </x:c>
      <x:c r="J161" s="115"/>
      <x:c r="K161" s="117"/>
      <x:c r="L161" s="117"/>
      <x:c r="M161" s="119"/>
    </x:row>
    <x:row r="162">
      <x:c r="A162" s="139"/>
      <x:c r="B162" s="117"/>
      <x:c r="C162" s="117"/>
      <x:c r="D162" s="117"/>
      <x:c r="E162" s="117"/>
      <x:c r="F162" s="117"/>
      <x:c r="G162" s="157"/>
      <x:c r="H162" s="156" t="str">
        <x:f>IF(F162="","",IF(F162="VND",1,IF(F162="USD",'Setup &amp; Lists'!$B$8,"")))</x:f>
      </x:c>
      <x:c r="I162" s="156" t="str">
        <x:f>IF(OR(G162="",H162=""),"",G162*H162)</x:f>
      </x:c>
      <x:c r="J162" s="115"/>
      <x:c r="K162" s="117"/>
      <x:c r="L162" s="117"/>
      <x:c r="M162" s="119"/>
    </x:row>
    <x:row r="163">
      <x:c r="A163" s="139"/>
      <x:c r="B163" s="117"/>
      <x:c r="C163" s="117"/>
      <x:c r="D163" s="117"/>
      <x:c r="E163" s="117"/>
      <x:c r="F163" s="117"/>
      <x:c r="G163" s="157"/>
      <x:c r="H163" s="156" t="str">
        <x:f>IF(F163="","",IF(F163="VND",1,IF(F163="USD",'Setup &amp; Lists'!$B$8,"")))</x:f>
      </x:c>
      <x:c r="I163" s="156" t="str">
        <x:f>IF(OR(G163="",H163=""),"",G163*H163)</x:f>
      </x:c>
      <x:c r="J163" s="115"/>
      <x:c r="K163" s="117"/>
      <x:c r="L163" s="117"/>
      <x:c r="M163" s="119"/>
    </x:row>
    <x:row r="164">
      <x:c r="A164" s="139"/>
      <x:c r="B164" s="117"/>
      <x:c r="C164" s="117"/>
      <x:c r="D164" s="117"/>
      <x:c r="E164" s="117"/>
      <x:c r="F164" s="117"/>
      <x:c r="G164" s="157"/>
      <x:c r="H164" s="156" t="str">
        <x:f>IF(F164="","",IF(F164="VND",1,IF(F164="USD",'Setup &amp; Lists'!$B$8,"")))</x:f>
      </x:c>
      <x:c r="I164" s="156" t="str">
        <x:f>IF(OR(G164="",H164=""),"",G164*H164)</x:f>
      </x:c>
      <x:c r="J164" s="115"/>
      <x:c r="K164" s="117"/>
      <x:c r="L164" s="117"/>
      <x:c r="M164" s="119"/>
    </x:row>
    <x:row r="165">
      <x:c r="A165" s="139"/>
      <x:c r="B165" s="117"/>
      <x:c r="C165" s="117"/>
      <x:c r="D165" s="117"/>
      <x:c r="E165" s="117"/>
      <x:c r="F165" s="117"/>
      <x:c r="G165" s="157"/>
      <x:c r="H165" s="156" t="str">
        <x:f>IF(F165="","",IF(F165="VND",1,IF(F165="USD",'Setup &amp; Lists'!$B$8,"")))</x:f>
      </x:c>
      <x:c r="I165" s="156" t="str">
        <x:f>IF(OR(G165="",H165=""),"",G165*H165)</x:f>
      </x:c>
      <x:c r="J165" s="115"/>
      <x:c r="K165" s="117"/>
      <x:c r="L165" s="117"/>
      <x:c r="M165" s="119"/>
    </x:row>
    <x:row r="166">
      <x:c r="A166" s="139"/>
      <x:c r="B166" s="117"/>
      <x:c r="C166" s="117"/>
      <x:c r="D166" s="117"/>
      <x:c r="E166" s="117"/>
      <x:c r="F166" s="117"/>
      <x:c r="G166" s="157"/>
      <x:c r="H166" s="156" t="str">
        <x:f>IF(F166="","",IF(F166="VND",1,IF(F166="USD",'Setup &amp; Lists'!$B$8,"")))</x:f>
      </x:c>
      <x:c r="I166" s="156" t="str">
        <x:f>IF(OR(G166="",H166=""),"",G166*H166)</x:f>
      </x:c>
      <x:c r="J166" s="115"/>
      <x:c r="K166" s="117"/>
      <x:c r="L166" s="117"/>
      <x:c r="M166" s="119"/>
    </x:row>
    <x:row r="167">
      <x:c r="A167" s="139"/>
      <x:c r="B167" s="117"/>
      <x:c r="C167" s="117"/>
      <x:c r="D167" s="117"/>
      <x:c r="E167" s="117"/>
      <x:c r="F167" s="117"/>
      <x:c r="G167" s="157"/>
      <x:c r="H167" s="156" t="str">
        <x:f>IF(F167="","",IF(F167="VND",1,IF(F167="USD",'Setup &amp; Lists'!$B$8,"")))</x:f>
      </x:c>
      <x:c r="I167" s="156" t="str">
        <x:f>IF(OR(G167="",H167=""),"",G167*H167)</x:f>
      </x:c>
      <x:c r="J167" s="115"/>
      <x:c r="K167" s="117"/>
      <x:c r="L167" s="117"/>
      <x:c r="M167" s="119"/>
    </x:row>
    <x:row r="168">
      <x:c r="A168" s="139"/>
      <x:c r="B168" s="117"/>
      <x:c r="C168" s="117"/>
      <x:c r="D168" s="117"/>
      <x:c r="E168" s="117"/>
      <x:c r="F168" s="117"/>
      <x:c r="G168" s="157"/>
      <x:c r="H168" s="156" t="str">
        <x:f>IF(F168="","",IF(F168="VND",1,IF(F168="USD",'Setup &amp; Lists'!$B$8,"")))</x:f>
      </x:c>
      <x:c r="I168" s="156" t="str">
        <x:f>IF(OR(G168="",H168=""),"",G168*H168)</x:f>
      </x:c>
      <x:c r="J168" s="115"/>
      <x:c r="K168" s="117"/>
      <x:c r="L168" s="117"/>
      <x:c r="M168" s="119"/>
    </x:row>
    <x:row r="169">
      <x:c r="A169" s="139"/>
      <x:c r="B169" s="117"/>
      <x:c r="C169" s="117"/>
      <x:c r="D169" s="117"/>
      <x:c r="E169" s="117"/>
      <x:c r="F169" s="117"/>
      <x:c r="G169" s="157"/>
      <x:c r="H169" s="156" t="str">
        <x:f>IF(F169="","",IF(F169="VND",1,IF(F169="USD",'Setup &amp; Lists'!$B$8,"")))</x:f>
      </x:c>
      <x:c r="I169" s="156" t="str">
        <x:f>IF(OR(G169="",H169=""),"",G169*H169)</x:f>
      </x:c>
      <x:c r="J169" s="115"/>
      <x:c r="K169" s="117"/>
      <x:c r="L169" s="117"/>
      <x:c r="M169" s="119"/>
    </x:row>
    <x:row r="170">
      <x:c r="A170" s="139"/>
      <x:c r="B170" s="117"/>
      <x:c r="C170" s="117"/>
      <x:c r="D170" s="117"/>
      <x:c r="E170" s="117"/>
      <x:c r="F170" s="117"/>
      <x:c r="G170" s="157"/>
      <x:c r="H170" s="156" t="str">
        <x:f>IF(F170="","",IF(F170="VND",1,IF(F170="USD",'Setup &amp; Lists'!$B$8,"")))</x:f>
      </x:c>
      <x:c r="I170" s="156" t="str">
        <x:f>IF(OR(G170="",H170=""),"",G170*H170)</x:f>
      </x:c>
      <x:c r="J170" s="115"/>
      <x:c r="K170" s="117"/>
      <x:c r="L170" s="117"/>
      <x:c r="M170" s="119"/>
    </x:row>
    <x:row r="171">
      <x:c r="A171" s="139"/>
      <x:c r="B171" s="117"/>
      <x:c r="C171" s="117"/>
      <x:c r="D171" s="117"/>
      <x:c r="E171" s="117"/>
      <x:c r="F171" s="117"/>
      <x:c r="G171" s="157"/>
      <x:c r="H171" s="156" t="str">
        <x:f>IF(F171="","",IF(F171="VND",1,IF(F171="USD",'Setup &amp; Lists'!$B$8,"")))</x:f>
      </x:c>
      <x:c r="I171" s="156" t="str">
        <x:f>IF(OR(G171="",H171=""),"",G171*H171)</x:f>
      </x:c>
      <x:c r="J171" s="115"/>
      <x:c r="K171" s="117"/>
      <x:c r="L171" s="117"/>
      <x:c r="M171" s="119"/>
    </x:row>
    <x:row r="172">
      <x:c r="A172" s="139"/>
      <x:c r="B172" s="117"/>
      <x:c r="C172" s="117"/>
      <x:c r="D172" s="117"/>
      <x:c r="E172" s="117"/>
      <x:c r="F172" s="117"/>
      <x:c r="G172" s="157"/>
      <x:c r="H172" s="156" t="str">
        <x:f>IF(F172="","",IF(F172="VND",1,IF(F172="USD",'Setup &amp; Lists'!$B$8,"")))</x:f>
      </x:c>
      <x:c r="I172" s="156" t="str">
        <x:f>IF(OR(G172="",H172=""),"",G172*H172)</x:f>
      </x:c>
      <x:c r="J172" s="115"/>
      <x:c r="K172" s="117"/>
      <x:c r="L172" s="117"/>
      <x:c r="M172" s="119"/>
    </x:row>
    <x:row r="173">
      <x:c r="A173" s="139"/>
      <x:c r="B173" s="117"/>
      <x:c r="C173" s="117"/>
      <x:c r="D173" s="117"/>
      <x:c r="E173" s="117"/>
      <x:c r="F173" s="117"/>
      <x:c r="G173" s="157"/>
      <x:c r="H173" s="156" t="str">
        <x:f>IF(F173="","",IF(F173="VND",1,IF(F173="USD",'Setup &amp; Lists'!$B$8,"")))</x:f>
      </x:c>
      <x:c r="I173" s="156" t="str">
        <x:f>IF(OR(G173="",H173=""),"",G173*H173)</x:f>
      </x:c>
      <x:c r="J173" s="115"/>
      <x:c r="K173" s="117"/>
      <x:c r="L173" s="117"/>
      <x:c r="M173" s="119"/>
    </x:row>
    <x:row r="174">
      <x:c r="A174" s="139"/>
      <x:c r="B174" s="117"/>
      <x:c r="C174" s="117"/>
      <x:c r="D174" s="117"/>
      <x:c r="E174" s="117"/>
      <x:c r="F174" s="117"/>
      <x:c r="G174" s="157"/>
      <x:c r="H174" s="156" t="str">
        <x:f>IF(F174="","",IF(F174="VND",1,IF(F174="USD",'Setup &amp; Lists'!$B$8,"")))</x:f>
      </x:c>
      <x:c r="I174" s="156" t="str">
        <x:f>IF(OR(G174="",H174=""),"",G174*H174)</x:f>
      </x:c>
      <x:c r="J174" s="115"/>
      <x:c r="K174" s="117"/>
      <x:c r="L174" s="117"/>
      <x:c r="M174" s="119"/>
    </x:row>
    <x:row r="175">
      <x:c r="A175" s="139"/>
      <x:c r="B175" s="117"/>
      <x:c r="C175" s="117"/>
      <x:c r="D175" s="117"/>
      <x:c r="E175" s="117"/>
      <x:c r="F175" s="117"/>
      <x:c r="G175" s="157"/>
      <x:c r="H175" s="156" t="str">
        <x:f>IF(F175="","",IF(F175="VND",1,IF(F175="USD",'Setup &amp; Lists'!$B$8,"")))</x:f>
      </x:c>
      <x:c r="I175" s="156" t="str">
        <x:f>IF(OR(G175="",H175=""),"",G175*H175)</x:f>
      </x:c>
      <x:c r="J175" s="115"/>
      <x:c r="K175" s="117"/>
      <x:c r="L175" s="117"/>
      <x:c r="M175" s="119"/>
    </x:row>
    <x:row r="176">
      <x:c r="A176" s="139"/>
      <x:c r="B176" s="117"/>
      <x:c r="C176" s="117"/>
      <x:c r="D176" s="117"/>
      <x:c r="E176" s="117"/>
      <x:c r="F176" s="117"/>
      <x:c r="G176" s="157"/>
      <x:c r="H176" s="156" t="str">
        <x:f>IF(F176="","",IF(F176="VND",1,IF(F176="USD",'Setup &amp; Lists'!$B$8,"")))</x:f>
      </x:c>
      <x:c r="I176" s="156" t="str">
        <x:f>IF(OR(G176="",H176=""),"",G176*H176)</x:f>
      </x:c>
      <x:c r="J176" s="115"/>
      <x:c r="K176" s="117"/>
      <x:c r="L176" s="117"/>
      <x:c r="M176" s="119"/>
    </x:row>
    <x:row r="177">
      <x:c r="A177" s="139"/>
      <x:c r="B177" s="117"/>
      <x:c r="C177" s="117"/>
      <x:c r="D177" s="117"/>
      <x:c r="E177" s="117"/>
      <x:c r="F177" s="117"/>
      <x:c r="G177" s="157"/>
      <x:c r="H177" s="156" t="str">
        <x:f>IF(F177="","",IF(F177="VND",1,IF(F177="USD",'Setup &amp; Lists'!$B$8,"")))</x:f>
      </x:c>
      <x:c r="I177" s="156" t="str">
        <x:f>IF(OR(G177="",H177=""),"",G177*H177)</x:f>
      </x:c>
      <x:c r="J177" s="115"/>
      <x:c r="K177" s="117"/>
      <x:c r="L177" s="117"/>
      <x:c r="M177" s="119"/>
    </x:row>
    <x:row r="178">
      <x:c r="A178" s="139"/>
      <x:c r="B178" s="117"/>
      <x:c r="C178" s="117"/>
      <x:c r="D178" s="117"/>
      <x:c r="E178" s="117"/>
      <x:c r="F178" s="117"/>
      <x:c r="G178" s="157"/>
      <x:c r="H178" s="156" t="str">
        <x:f>IF(F178="","",IF(F178="VND",1,IF(F178="USD",'Setup &amp; Lists'!$B$8,"")))</x:f>
      </x:c>
      <x:c r="I178" s="156" t="str">
        <x:f>IF(OR(G178="",H178=""),"",G178*H178)</x:f>
      </x:c>
      <x:c r="J178" s="115"/>
      <x:c r="K178" s="117"/>
      <x:c r="L178" s="117"/>
      <x:c r="M178" s="119"/>
    </x:row>
    <x:row r="179">
      <x:c r="A179" s="139"/>
      <x:c r="B179" s="117"/>
      <x:c r="C179" s="117"/>
      <x:c r="D179" s="117"/>
      <x:c r="E179" s="117"/>
      <x:c r="F179" s="117"/>
      <x:c r="G179" s="157"/>
      <x:c r="H179" s="156" t="str">
        <x:f>IF(F179="","",IF(F179="VND",1,IF(F179="USD",'Setup &amp; Lists'!$B$8,"")))</x:f>
      </x:c>
      <x:c r="I179" s="156" t="str">
        <x:f>IF(OR(G179="",H179=""),"",G179*H179)</x:f>
      </x:c>
      <x:c r="J179" s="115"/>
      <x:c r="K179" s="117"/>
      <x:c r="L179" s="117"/>
      <x:c r="M179" s="119"/>
    </x:row>
    <x:row r="180">
      <x:c r="A180" s="139"/>
      <x:c r="B180" s="117"/>
      <x:c r="C180" s="117"/>
      <x:c r="D180" s="117"/>
      <x:c r="E180" s="117"/>
      <x:c r="F180" s="117"/>
      <x:c r="G180" s="157"/>
      <x:c r="H180" s="156" t="str">
        <x:f>IF(F180="","",IF(F180="VND",1,IF(F180="USD",'Setup &amp; Lists'!$B$8,"")))</x:f>
      </x:c>
      <x:c r="I180" s="156" t="str">
        <x:f>IF(OR(G180="",H180=""),"",G180*H180)</x:f>
      </x:c>
      <x:c r="J180" s="115"/>
      <x:c r="K180" s="117"/>
      <x:c r="L180" s="117"/>
      <x:c r="M180" s="119"/>
    </x:row>
    <x:row r="181">
      <x:c r="A181" s="139"/>
      <x:c r="B181" s="117"/>
      <x:c r="C181" s="117"/>
      <x:c r="D181" s="117"/>
      <x:c r="E181" s="117"/>
      <x:c r="F181" s="117"/>
      <x:c r="G181" s="157"/>
      <x:c r="H181" s="156" t="str">
        <x:f>IF(F181="","",IF(F181="VND",1,IF(F181="USD",'Setup &amp; Lists'!$B$8,"")))</x:f>
      </x:c>
      <x:c r="I181" s="156" t="str">
        <x:f>IF(OR(G181="",H181=""),"",G181*H181)</x:f>
      </x:c>
      <x:c r="J181" s="115"/>
      <x:c r="K181" s="117"/>
      <x:c r="L181" s="117"/>
      <x:c r="M181" s="119"/>
    </x:row>
    <x:row r="182">
      <x:c r="A182" s="139"/>
      <x:c r="B182" s="117"/>
      <x:c r="C182" s="117"/>
      <x:c r="D182" s="117"/>
      <x:c r="E182" s="117"/>
      <x:c r="F182" s="117"/>
      <x:c r="G182" s="157"/>
      <x:c r="H182" s="156" t="str">
        <x:f>IF(F182="","",IF(F182="VND",1,IF(F182="USD",'Setup &amp; Lists'!$B$8,"")))</x:f>
      </x:c>
      <x:c r="I182" s="156" t="str">
        <x:f>IF(OR(G182="",H182=""),"",G182*H182)</x:f>
      </x:c>
      <x:c r="J182" s="115"/>
      <x:c r="K182" s="117"/>
      <x:c r="L182" s="117"/>
      <x:c r="M182" s="119"/>
    </x:row>
    <x:row r="183">
      <x:c r="A183" s="139"/>
      <x:c r="B183" s="117"/>
      <x:c r="C183" s="117"/>
      <x:c r="D183" s="117"/>
      <x:c r="E183" s="117"/>
      <x:c r="F183" s="117"/>
      <x:c r="G183" s="157"/>
      <x:c r="H183" s="156" t="str">
        <x:f>IF(F183="","",IF(F183="VND",1,IF(F183="USD",'Setup &amp; Lists'!$B$8,"")))</x:f>
      </x:c>
      <x:c r="I183" s="156" t="str">
        <x:f>IF(OR(G183="",H183=""),"",G183*H183)</x:f>
      </x:c>
      <x:c r="J183" s="115"/>
      <x:c r="K183" s="117"/>
      <x:c r="L183" s="117"/>
      <x:c r="M183" s="119"/>
    </x:row>
    <x:row r="184">
      <x:c r="A184" s="139"/>
      <x:c r="B184" s="117"/>
      <x:c r="C184" s="117"/>
      <x:c r="D184" s="117"/>
      <x:c r="E184" s="117"/>
      <x:c r="F184" s="117"/>
      <x:c r="G184" s="157"/>
      <x:c r="H184" s="156" t="str">
        <x:f>IF(F184="","",IF(F184="VND",1,IF(F184="USD",'Setup &amp; Lists'!$B$8,"")))</x:f>
      </x:c>
      <x:c r="I184" s="156" t="str">
        <x:f>IF(OR(G184="",H184=""),"",G184*H184)</x:f>
      </x:c>
      <x:c r="J184" s="115"/>
      <x:c r="K184" s="117"/>
      <x:c r="L184" s="117"/>
      <x:c r="M184" s="119"/>
    </x:row>
    <x:row r="185">
      <x:c r="A185" s="139"/>
      <x:c r="B185" s="117"/>
      <x:c r="C185" s="117"/>
      <x:c r="D185" s="117"/>
      <x:c r="E185" s="117"/>
      <x:c r="F185" s="117"/>
      <x:c r="G185" s="157"/>
      <x:c r="H185" s="156" t="str">
        <x:f>IF(F185="","",IF(F185="VND",1,IF(F185="USD",'Setup &amp; Lists'!$B$8,"")))</x:f>
      </x:c>
      <x:c r="I185" s="156" t="str">
        <x:f>IF(OR(G185="",H185=""),"",G185*H185)</x:f>
      </x:c>
      <x:c r="J185" s="115"/>
      <x:c r="K185" s="117"/>
      <x:c r="L185" s="117"/>
      <x:c r="M185" s="119"/>
    </x:row>
    <x:row r="186">
      <x:c r="A186" s="139"/>
      <x:c r="B186" s="117"/>
      <x:c r="C186" s="117"/>
      <x:c r="D186" s="117"/>
      <x:c r="E186" s="117"/>
      <x:c r="F186" s="117"/>
      <x:c r="G186" s="157"/>
      <x:c r="H186" s="156" t="str">
        <x:f>IF(F186="","",IF(F186="VND",1,IF(F186="USD",'Setup &amp; Lists'!$B$8,"")))</x:f>
      </x:c>
      <x:c r="I186" s="156" t="str">
        <x:f>IF(OR(G186="",H186=""),"",G186*H186)</x:f>
      </x:c>
      <x:c r="J186" s="115"/>
      <x:c r="K186" s="117"/>
      <x:c r="L186" s="117"/>
      <x:c r="M186" s="119"/>
    </x:row>
    <x:row r="187">
      <x:c r="A187" s="139"/>
      <x:c r="B187" s="117"/>
      <x:c r="C187" s="117"/>
      <x:c r="D187" s="117"/>
      <x:c r="E187" s="117"/>
      <x:c r="F187" s="117"/>
      <x:c r="G187" s="157"/>
      <x:c r="H187" s="156" t="str">
        <x:f>IF(F187="","",IF(F187="VND",1,IF(F187="USD",'Setup &amp; Lists'!$B$8,"")))</x:f>
      </x:c>
      <x:c r="I187" s="156" t="str">
        <x:f>IF(OR(G187="",H187=""),"",G187*H187)</x:f>
      </x:c>
      <x:c r="J187" s="115"/>
      <x:c r="K187" s="117"/>
      <x:c r="L187" s="117"/>
      <x:c r="M187" s="119"/>
    </x:row>
    <x:row r="188">
      <x:c r="A188" s="139"/>
      <x:c r="B188" s="117"/>
      <x:c r="C188" s="117"/>
      <x:c r="D188" s="117"/>
      <x:c r="E188" s="117"/>
      <x:c r="F188" s="117"/>
      <x:c r="G188" s="157"/>
      <x:c r="H188" s="156" t="str">
        <x:f>IF(F188="","",IF(F188="VND",1,IF(F188="USD",'Setup &amp; Lists'!$B$8,"")))</x:f>
      </x:c>
      <x:c r="I188" s="156" t="str">
        <x:f>IF(OR(G188="",H188=""),"",G188*H188)</x:f>
      </x:c>
      <x:c r="J188" s="115"/>
      <x:c r="K188" s="117"/>
      <x:c r="L188" s="117"/>
      <x:c r="M188" s="119"/>
    </x:row>
    <x:row r="189">
      <x:c r="A189" s="139"/>
      <x:c r="B189" s="117"/>
      <x:c r="C189" s="117"/>
      <x:c r="D189" s="117"/>
      <x:c r="E189" s="117"/>
      <x:c r="F189" s="117"/>
      <x:c r="G189" s="157"/>
      <x:c r="H189" s="156" t="str">
        <x:f>IF(F189="","",IF(F189="VND",1,IF(F189="USD",'Setup &amp; Lists'!$B$8,"")))</x:f>
      </x:c>
      <x:c r="I189" s="156" t="str">
        <x:f>IF(OR(G189="",H189=""),"",G189*H189)</x:f>
      </x:c>
      <x:c r="J189" s="115"/>
      <x:c r="K189" s="117"/>
      <x:c r="L189" s="117"/>
      <x:c r="M189" s="119"/>
    </x:row>
    <x:row r="190">
      <x:c r="A190" s="139"/>
      <x:c r="B190" s="117"/>
      <x:c r="C190" s="117"/>
      <x:c r="D190" s="117"/>
      <x:c r="E190" s="117"/>
      <x:c r="F190" s="117"/>
      <x:c r="G190" s="157"/>
      <x:c r="H190" s="156" t="str">
        <x:f>IF(F190="","",IF(F190="VND",1,IF(F190="USD",'Setup &amp; Lists'!$B$8,"")))</x:f>
      </x:c>
      <x:c r="I190" s="156" t="str">
        <x:f>IF(OR(G190="",H190=""),"",G190*H190)</x:f>
      </x:c>
      <x:c r="J190" s="115"/>
      <x:c r="K190" s="117"/>
      <x:c r="L190" s="117"/>
      <x:c r="M190" s="119"/>
    </x:row>
    <x:row r="191">
      <x:c r="A191" s="139"/>
      <x:c r="B191" s="117"/>
      <x:c r="C191" s="117"/>
      <x:c r="D191" s="117"/>
      <x:c r="E191" s="117"/>
      <x:c r="F191" s="117"/>
      <x:c r="G191" s="157"/>
      <x:c r="H191" s="156" t="str">
        <x:f>IF(F191="","",IF(F191="VND",1,IF(F191="USD",'Setup &amp; Lists'!$B$8,"")))</x:f>
      </x:c>
      <x:c r="I191" s="156" t="str">
        <x:f>IF(OR(G191="",H191=""),"",G191*H191)</x:f>
      </x:c>
      <x:c r="J191" s="115"/>
      <x:c r="K191" s="117"/>
      <x:c r="L191" s="117"/>
      <x:c r="M191" s="119"/>
    </x:row>
    <x:row r="192">
      <x:c r="A192" s="139"/>
      <x:c r="B192" s="117"/>
      <x:c r="C192" s="117"/>
      <x:c r="D192" s="117"/>
      <x:c r="E192" s="117"/>
      <x:c r="F192" s="117"/>
      <x:c r="G192" s="157"/>
      <x:c r="H192" s="156" t="str">
        <x:f>IF(F192="","",IF(F192="VND",1,IF(F192="USD",'Setup &amp; Lists'!$B$8,"")))</x:f>
      </x:c>
      <x:c r="I192" s="156" t="str">
        <x:f>IF(OR(G192="",H192=""),"",G192*H192)</x:f>
      </x:c>
      <x:c r="J192" s="115"/>
      <x:c r="K192" s="117"/>
      <x:c r="L192" s="117"/>
      <x:c r="M192" s="119"/>
    </x:row>
    <x:row r="193">
      <x:c r="A193" s="139"/>
      <x:c r="B193" s="117"/>
      <x:c r="C193" s="117"/>
      <x:c r="D193" s="117"/>
      <x:c r="E193" s="117"/>
      <x:c r="F193" s="117"/>
      <x:c r="G193" s="157"/>
      <x:c r="H193" s="156" t="str">
        <x:f>IF(F193="","",IF(F193="VND",1,IF(F193="USD",'Setup &amp; Lists'!$B$8,"")))</x:f>
      </x:c>
      <x:c r="I193" s="156" t="str">
        <x:f>IF(OR(G193="",H193=""),"",G193*H193)</x:f>
      </x:c>
      <x:c r="J193" s="115"/>
      <x:c r="K193" s="117"/>
      <x:c r="L193" s="117"/>
      <x:c r="M193" s="119"/>
    </x:row>
    <x:row r="194">
      <x:c r="A194" s="139"/>
      <x:c r="B194" s="117"/>
      <x:c r="C194" s="117"/>
      <x:c r="D194" s="117"/>
      <x:c r="E194" s="117"/>
      <x:c r="F194" s="117"/>
      <x:c r="G194" s="157"/>
      <x:c r="H194" s="156" t="str">
        <x:f>IF(F194="","",IF(F194="VND",1,IF(F194="USD",'Setup &amp; Lists'!$B$8,"")))</x:f>
      </x:c>
      <x:c r="I194" s="156" t="str">
        <x:f>IF(OR(G194="",H194=""),"",G194*H194)</x:f>
      </x:c>
      <x:c r="J194" s="115"/>
      <x:c r="K194" s="117"/>
      <x:c r="L194" s="117"/>
      <x:c r="M194" s="119"/>
    </x:row>
    <x:row r="195">
      <x:c r="A195" s="139"/>
      <x:c r="B195" s="117"/>
      <x:c r="C195" s="117"/>
      <x:c r="D195" s="117"/>
      <x:c r="E195" s="117"/>
      <x:c r="F195" s="117"/>
      <x:c r="G195" s="157"/>
      <x:c r="H195" s="156" t="str">
        <x:f>IF(F195="","",IF(F195="VND",1,IF(F195="USD",'Setup &amp; Lists'!$B$8,"")))</x:f>
      </x:c>
      <x:c r="I195" s="156" t="str">
        <x:f>IF(OR(G195="",H195=""),"",G195*H195)</x:f>
      </x:c>
      <x:c r="J195" s="115"/>
      <x:c r="K195" s="117"/>
      <x:c r="L195" s="117"/>
      <x:c r="M195" s="119"/>
    </x:row>
    <x:row r="196">
      <x:c r="A196" s="139"/>
      <x:c r="B196" s="117"/>
      <x:c r="C196" s="117"/>
      <x:c r="D196" s="117"/>
      <x:c r="E196" s="117"/>
      <x:c r="F196" s="117"/>
      <x:c r="G196" s="157"/>
      <x:c r="H196" s="156" t="str">
        <x:f>IF(F196="","",IF(F196="VND",1,IF(F196="USD",'Setup &amp; Lists'!$B$8,"")))</x:f>
      </x:c>
      <x:c r="I196" s="156" t="str">
        <x:f>IF(OR(G196="",H196=""),"",G196*H196)</x:f>
      </x:c>
      <x:c r="J196" s="115"/>
      <x:c r="K196" s="117"/>
      <x:c r="L196" s="117"/>
      <x:c r="M196" s="119"/>
    </x:row>
    <x:row r="197">
      <x:c r="A197" s="139"/>
      <x:c r="B197" s="117"/>
      <x:c r="C197" s="117"/>
      <x:c r="D197" s="117"/>
      <x:c r="E197" s="117"/>
      <x:c r="F197" s="117"/>
      <x:c r="G197" s="157"/>
      <x:c r="H197" s="156" t="str">
        <x:f>IF(F197="","",IF(F197="VND",1,IF(F197="USD",'Setup &amp; Lists'!$B$8,"")))</x:f>
      </x:c>
      <x:c r="I197" s="156" t="str">
        <x:f>IF(OR(G197="",H197=""),"",G197*H197)</x:f>
      </x:c>
      <x:c r="J197" s="115"/>
      <x:c r="K197" s="117"/>
      <x:c r="L197" s="117"/>
      <x:c r="M197" s="119"/>
    </x:row>
    <x:row r="198">
      <x:c r="A198" s="139"/>
      <x:c r="B198" s="117"/>
      <x:c r="C198" s="117"/>
      <x:c r="D198" s="117"/>
      <x:c r="E198" s="117"/>
      <x:c r="F198" s="117"/>
      <x:c r="G198" s="157"/>
      <x:c r="H198" s="156" t="str">
        <x:f>IF(F198="","",IF(F198="VND",1,IF(F198="USD",'Setup &amp; Lists'!$B$8,"")))</x:f>
      </x:c>
      <x:c r="I198" s="156" t="str">
        <x:f>IF(OR(G198="",H198=""),"",G198*H198)</x:f>
      </x:c>
      <x:c r="J198" s="115"/>
      <x:c r="K198" s="117"/>
      <x:c r="L198" s="117"/>
      <x:c r="M198" s="119"/>
    </x:row>
    <x:row r="199">
      <x:c r="A199" s="139"/>
      <x:c r="B199" s="117"/>
      <x:c r="C199" s="117"/>
      <x:c r="D199" s="117"/>
      <x:c r="E199" s="117"/>
      <x:c r="F199" s="117"/>
      <x:c r="G199" s="157"/>
      <x:c r="H199" s="156" t="str">
        <x:f>IF(F199="","",IF(F199="VND",1,IF(F199="USD",'Setup &amp; Lists'!$B$8,"")))</x:f>
      </x:c>
      <x:c r="I199" s="156" t="str">
        <x:f>IF(OR(G199="",H199=""),"",G199*H199)</x:f>
      </x:c>
      <x:c r="J199" s="115"/>
      <x:c r="K199" s="117"/>
      <x:c r="L199" s="117"/>
      <x:c r="M199" s="119"/>
    </x:row>
    <x:row r="200">
      <x:c r="A200" s="139"/>
      <x:c r="B200" s="117"/>
      <x:c r="C200" s="117"/>
      <x:c r="D200" s="117"/>
      <x:c r="E200" s="117"/>
      <x:c r="F200" s="117"/>
      <x:c r="G200" s="157"/>
      <x:c r="H200" s="156" t="str">
        <x:f>IF(F200="","",IF(F200="VND",1,IF(F200="USD",'Setup &amp; Lists'!$B$8,"")))</x:f>
      </x:c>
      <x:c r="I200" s="156" t="str">
        <x:f>IF(OR(G200="",H200=""),"",G200*H200)</x:f>
      </x:c>
      <x:c r="J200" s="115"/>
      <x:c r="K200" s="117"/>
      <x:c r="L200" s="117"/>
      <x:c r="M200" s="119"/>
    </x:row>
    <x:row r="201">
      <x:c r="A201" s="139"/>
      <x:c r="B201" s="117"/>
      <x:c r="C201" s="117"/>
      <x:c r="D201" s="117"/>
      <x:c r="E201" s="117"/>
      <x:c r="F201" s="117"/>
      <x:c r="G201" s="157"/>
      <x:c r="H201" s="156" t="str">
        <x:f>IF(F201="","",IF(F201="VND",1,IF(F201="USD",'Setup &amp; Lists'!$B$8,"")))</x:f>
      </x:c>
      <x:c r="I201" s="156" t="str">
        <x:f>IF(OR(G201="",H201=""),"",G201*H201)</x:f>
      </x:c>
      <x:c r="J201" s="115"/>
      <x:c r="K201" s="117"/>
      <x:c r="L201" s="117"/>
      <x:c r="M201" s="119"/>
    </x:row>
    <x:row r="202">
      <x:c r="A202" s="139"/>
      <x:c r="B202" s="117"/>
      <x:c r="C202" s="117"/>
      <x:c r="D202" s="117"/>
      <x:c r="E202" s="117"/>
      <x:c r="F202" s="117"/>
      <x:c r="G202" s="157"/>
      <x:c r="H202" s="156" t="str">
        <x:f>IF(F202="","",IF(F202="VND",1,IF(F202="USD",'Setup &amp; Lists'!$B$8,"")))</x:f>
      </x:c>
      <x:c r="I202" s="156" t="str">
        <x:f>IF(OR(G202="",H202=""),"",G202*H202)</x:f>
      </x:c>
      <x:c r="J202" s="115"/>
      <x:c r="K202" s="117"/>
      <x:c r="L202" s="117"/>
      <x:c r="M202" s="119"/>
    </x:row>
    <x:row r="203">
      <x:c r="A203" s="142"/>
      <x:c r="B203" s="127"/>
      <x:c r="C203" s="127"/>
      <x:c r="D203" s="127"/>
      <x:c r="E203" s="127"/>
      <x:c r="F203" s="127"/>
      <x:c r="G203" s="158"/>
      <x:c r="H203" s="156" t="str">
        <x:f>IF(F203="","",IF(F203="VND",1,IF(F203="USD",'Setup &amp; Lists'!$B$8,"")))</x:f>
      </x:c>
      <x:c r="I203" s="156" t="str">
        <x:f>IF(OR(G203="",H203=""),"",G203*H203)</x:f>
      </x:c>
      <x:c r="J203" s="125"/>
      <x:c r="K203" s="127"/>
      <x:c r="L203" s="127"/>
      <x:c r="M203" s="129"/>
    </x:row>
  </x:sheetData>
  <x:mergeCells>
    <x:mergeCell ref="A1:M1"/>
    <x:mergeCell ref="A2:M2"/>
  </x:mergeCells>
  <x:dataValidations count="5">
    <x:dataValidation type="list" sqref="B4:B203">
      <x:formula1>'Setup &amp; Lists'!$L$16:$L$25</x:formula1>
    </x:dataValidation>
    <x:dataValidation type="list" sqref="C4:C203">
      <x:formula1>'Setup &amp; Lists'!$E$16:$E$18</x:formula1>
    </x:dataValidation>
    <x:dataValidation type="list" sqref="E4:E203">
      <x:formula1>'Setup &amp; Lists'!$M$16:$M$18</x:formula1>
    </x:dataValidation>
    <x:dataValidation type="list" sqref="F4:F203">
      <x:formula1>'Setup &amp; Lists'!$N$16:$N$17</x:formula1>
    </x:dataValidation>
    <x:dataValidation type="list" sqref="J4:J203">
      <x:formula1>'Setup &amp; Lists'!$O$16:$O$19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6c09dde9dd427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42" hidden="0" customWidth="1"/>
  </x:cols>
  <x:sheetData>
    <x:row r="1" ht="34" customHeight="1">
      <x:c r="A1" s="93" t="str">
        <x:v>DAILY TEAM LOG</x:v>
      </x:c>
      <x:c r="B1" s="93" t="str">
        <x:v>DAILY TEAM LOG</x:v>
      </x:c>
      <x:c r="C1" s="93" t="str">
        <x:v>DAILY TEAM LOG</x:v>
      </x:c>
      <x:c r="D1" s="93" t="str">
        <x:v>DAILY TEAM LOG</x:v>
      </x:c>
      <x:c r="E1" s="93" t="str">
        <x:v>DAILY TEAM LOG</x:v>
      </x:c>
      <x:c r="F1" s="93" t="str">
        <x:v>DAILY TEAM LOG</x:v>
      </x:c>
      <x:c r="G1" s="93" t="str">
        <x:v>DAILY TEAM LOG</x:v>
      </x:c>
      <x:c r="H1" s="93" t="str">
        <x:v>DAILY TEAM LOG</x:v>
      </x:c>
      <x:c r="I1" s="93" t="str">
        <x:v>DAILY TEAM LOG</x:v>
      </x:c>
      <x:c r="J1" s="93" t="str">
        <x:v>DAILY TEAM LOG</x:v>
      </x:c>
      <x:c r="K1" s="93" t="str">
        <x:v>DAILY TEAM LOG</x:v>
      </x:c>
      <x:c r="L1" s="93" t="str">
        <x:v>DAILY TEAM LOG</x:v>
      </x:c>
      <x:c r="M1" s="93" t="str">
        <x:v>DAILY TEAM LOG</x:v>
      </x:c>
      <x:c r="N1" s="93" t="str">
        <x:v>DAILY TEAM LOG</x:v>
      </x:c>
    </x:row>
    <x:row r="2" ht="30" customHeight="1">
      <x:c r="A2" s="95" t="str">
        <x:v>Nhập Date, Member, Planned Hours và Notes. Các cột còn lại tự cộng từ Human Time Log.</x:v>
      </x:c>
      <x:c r="B2" s="95" t="str">
        <x:v>Nhập Date, Member, Planned Hours và Notes. Các cột còn lại tự cộng từ Human Time Log.</x:v>
      </x:c>
      <x:c r="C2" s="95" t="str">
        <x:v>Nhập Date, Member, Planned Hours và Notes. Các cột còn lại tự cộng từ Human Time Log.</x:v>
      </x:c>
      <x:c r="D2" s="95" t="str">
        <x:v>Nhập Date, Member, Planned Hours và Notes. Các cột còn lại tự cộng từ Human Time Log.</x:v>
      </x:c>
      <x:c r="E2" s="95" t="str">
        <x:v>Nhập Date, Member, Planned Hours và Notes. Các cột còn lại tự cộng từ Human Time Log.</x:v>
      </x:c>
      <x:c r="F2" s="95" t="str">
        <x:v>Nhập Date, Member, Planned Hours và Notes. Các cột còn lại tự cộng từ Human Time Log.</x:v>
      </x:c>
      <x:c r="G2" s="95" t="str">
        <x:v>Nhập Date, Member, Planned Hours và Notes. Các cột còn lại tự cộng từ Human Time Log.</x:v>
      </x:c>
      <x:c r="H2" s="95" t="str">
        <x:v>Nhập Date, Member, Planned Hours và Notes. Các cột còn lại tự cộng từ Human Time Log.</x:v>
      </x:c>
      <x:c r="I2" s="95" t="str">
        <x:v>Nhập Date, Member, Planned Hours và Notes. Các cột còn lại tự cộng từ Human Time Log.</x:v>
      </x:c>
      <x:c r="J2" s="95" t="str">
        <x:v>Nhập Date, Member, Planned Hours và Notes. Các cột còn lại tự cộng từ Human Time Log.</x:v>
      </x:c>
      <x:c r="K2" s="95" t="str">
        <x:v>Nhập Date, Member, Planned Hours và Notes. Các cột còn lại tự cộng từ Human Time Log.</x:v>
      </x:c>
      <x:c r="L2" s="95" t="str">
        <x:v>Nhập Date, Member, Planned Hours và Notes. Các cột còn lại tự cộng từ Human Time Log.</x:v>
      </x:c>
      <x:c r="M2" s="95" t="str">
        <x:v>Nhập Date, Member, Planned Hours và Notes. Các cột còn lại tự cộng từ Human Time Log.</x:v>
      </x:c>
      <x:c r="N2" s="95" t="str">
        <x:v>Nhập Date, Member, Planned Hours và Notes. Các cột còn lại tự cộng từ Human Time Log.</x:v>
      </x:c>
    </x:row>
    <x:row r="3" ht="36" customHeight="1">
      <x:c r="A3" s="96" t="str">
        <x:v>Date</x:v>
      </x:c>
      <x:c r="B3" s="96" t="str">
        <x:v>Member</x:v>
      </x:c>
      <x:c r="C3" s="96" t="str">
        <x:v>Planned Hours</x:v>
      </x:c>
      <x:c r="D3" s="96" t="str">
        <x:v>Actual Hours</x:v>
      </x:c>
      <x:c r="E3" s="96" t="str">
        <x:v>Analysis/Prompting</x:v>
      </x:c>
      <x:c r="F3" s="96" t="str">
        <x:v>Agent Supervision</x:v>
      </x:c>
      <x:c r="G3" s="96" t="str">
        <x:v>Review</x:v>
      </x:c>
      <x:c r="H3" s="96" t="str">
        <x:v>Testing</x:v>
      </x:c>
      <x:c r="I3" s="96" t="str">
        <x:v>Fix/Rework</x:v>
      </x:c>
      <x:c r="J3" s="96" t="str">
        <x:v>Integration/Deploy</x:v>
      </x:c>
      <x:c r="K3" s="96" t="str">
        <x:v>PM/Docs</x:v>
      </x:c>
      <x:c r="L3" s="96" t="str">
        <x:v>Meeting/Other</x:v>
      </x:c>
      <x:c r="M3" s="96" t="str">
        <x:v>Variance</x:v>
      </x:c>
      <x:c r="N3" s="96" t="str">
        <x:v>Notes</x:v>
      </x:c>
    </x:row>
    <x:row r="4">
      <x:c r="A4" s="135"/>
      <x:c r="B4" s="106"/>
      <x:c r="C4" s="159"/>
      <x:c r="D4" s="138" t="str">
        <x:f>IF(OR(A4="",B4=""),"",SUMIFS('Human Time Log'!$H$4:$H$503,'Human Time Log'!$A$4:$A$503,A4,'Human Time Log'!$B$4:$B$503,B4))</x:f>
      </x:c>
      <x:c r="E4" s="138" t="str">
        <x:f>IF(OR($A4="",$B4=""),"",SUMIFS('Human Time Log'!$H$4:$H$503,'Human Time Log'!$A$4:$A$503,$A4,'Human Time Log'!$B$4:$B$503,$B4,'Human Time Log'!$D$4:$D$503,"Analysis &amp; Prompting"))</x:f>
      </x:c>
      <x:c r="F4" s="138" t="str">
        <x:f>IF(OR($A4="",$B4=""),"",SUMIFS('Human Time Log'!$H$4:$H$503,'Human Time Log'!$A$4:$A$503,$A4,'Human Time Log'!$B$4:$B$503,$B4,'Human Time Log'!$D$4:$D$503,"Agent Supervision"))</x:f>
      </x:c>
      <x:c r="G4" s="138" t="str">
        <x:f>IF(OR($A4="",$B4=""),"",SUMIFS('Human Time Log'!$H$4:$H$503,'Human Time Log'!$A$4:$A$503,$A4,'Human Time Log'!$B$4:$B$503,$B4,'Human Time Log'!$D$4:$D$503,"Human Review"))</x:f>
      </x:c>
      <x:c r="H4" s="138" t="str">
        <x:f>IF(OR($A4="",$B4=""),"",SUMIFS('Human Time Log'!$H$4:$H$503,'Human Time Log'!$A$4:$A$503,$A4,'Human Time Log'!$B$4:$B$503,$B4,'Human Time Log'!$D$4:$D$503,"Testing / Acceptance"))</x:f>
      </x:c>
      <x:c r="I4" s="138" t="str">
        <x:f>IF(OR($A4="",$B4=""),"",SUMIFS('Human Time Log'!$H$4:$H$503,'Human Time Log'!$A$4:$A$503,$A4,'Human Time Log'!$B$4:$B$503,$B4,'Human Time Log'!$D$4:$D$503,"Fix / Rework"))</x:f>
      </x:c>
      <x:c r="J4" s="138" t="str">
        <x:f>IF(OR($A4="",$B4=""),"",SUMIFS('Human Time Log'!$H$4:$H$503,'Human Time Log'!$A$4:$A$503,$A4,'Human Time Log'!$B$4:$B$503,$B4,'Human Time Log'!$D$4:$D$503,"Integration / Deployment"))</x:f>
      </x:c>
      <x:c r="K4" s="138" t="str">
        <x:f>IF(OR($A4="",$B4=""),"",SUMIFS('Human Time Log'!$H$4:$H$503,'Human Time Log'!$A$4:$A$503,$A4,'Human Time Log'!$B$4:$B$503,$B4,'Human Time Log'!$D$4:$D$503,"PM / Documentation"))</x:f>
      </x:c>
      <x:c r="L4" s="138" t="str">
        <x:f>IF(OR($A4="",$B4=""),"",SUMIFS('Human Time Log'!$H$4:$H$503,'Human Time Log'!$A$4:$A$503,$A4,'Human Time Log'!$B$4:$B$503,$B4,'Human Time Log'!$D$4:$D$503,"Meeting")+SUMIFS('Human Time Log'!$H$4:$H$503,'Human Time Log'!$A$4:$A$503,$A4,'Human Time Log'!$B$4:$B$503,$B4,'Human Time Log'!$D$4:$D$503,"Other"))</x:f>
      </x:c>
      <x:c r="M4" s="138" t="str">
        <x:f>IF(OR(C4="",D4=""),"",D4-C4)</x:f>
      </x:c>
      <x:c r="N4" s="97"/>
    </x:row>
    <x:row r="5">
      <x:c r="A5" s="139"/>
      <x:c r="B5" s="117"/>
      <x:c r="C5" s="160"/>
      <x:c r="D5" s="138" t="str">
        <x:f>IF(OR(A5="",B5=""),"",SUMIFS('Human Time Log'!$H$4:$H$503,'Human Time Log'!$A$4:$A$503,A5,'Human Time Log'!$B$4:$B$503,B5))</x:f>
      </x:c>
      <x:c r="E5" s="138" t="str">
        <x:f>IF(OR($A5="",$B5=""),"",SUMIFS('Human Time Log'!$H$4:$H$503,'Human Time Log'!$A$4:$A$503,$A5,'Human Time Log'!$B$4:$B$503,$B5,'Human Time Log'!$D$4:$D$503,"Analysis &amp; Prompting"))</x:f>
      </x:c>
      <x:c r="F5" s="138" t="str">
        <x:f>IF(OR($A5="",$B5=""),"",SUMIFS('Human Time Log'!$H$4:$H$503,'Human Time Log'!$A$4:$A$503,$A5,'Human Time Log'!$B$4:$B$503,$B5,'Human Time Log'!$D$4:$D$503,"Agent Supervision"))</x:f>
      </x:c>
      <x:c r="G5" s="138" t="str">
        <x:f>IF(OR($A5="",$B5=""),"",SUMIFS('Human Time Log'!$H$4:$H$503,'Human Time Log'!$A$4:$A$503,$A5,'Human Time Log'!$B$4:$B$503,$B5,'Human Time Log'!$D$4:$D$503,"Human Review"))</x:f>
      </x:c>
      <x:c r="H5" s="138" t="str">
        <x:f>IF(OR($A5="",$B5=""),"",SUMIFS('Human Time Log'!$H$4:$H$503,'Human Time Log'!$A$4:$A$503,$A5,'Human Time Log'!$B$4:$B$503,$B5,'Human Time Log'!$D$4:$D$503,"Testing / Acceptance"))</x:f>
      </x:c>
      <x:c r="I5" s="138" t="str">
        <x:f>IF(OR($A5="",$B5=""),"",SUMIFS('Human Time Log'!$H$4:$H$503,'Human Time Log'!$A$4:$A$503,$A5,'Human Time Log'!$B$4:$B$503,$B5,'Human Time Log'!$D$4:$D$503,"Fix / Rework"))</x:f>
      </x:c>
      <x:c r="J5" s="138" t="str">
        <x:f>IF(OR($A5="",$B5=""),"",SUMIFS('Human Time Log'!$H$4:$H$503,'Human Time Log'!$A$4:$A$503,$A5,'Human Time Log'!$B$4:$B$503,$B5,'Human Time Log'!$D$4:$D$503,"Integration / Deployment"))</x:f>
      </x:c>
      <x:c r="K5" s="138" t="str">
        <x:f>IF(OR($A5="",$B5=""),"",SUMIFS('Human Time Log'!$H$4:$H$503,'Human Time Log'!$A$4:$A$503,$A5,'Human Time Log'!$B$4:$B$503,$B5,'Human Time Log'!$D$4:$D$503,"PM / Documentation"))</x:f>
      </x:c>
      <x:c r="L5" s="138" t="str">
        <x:f>IF(OR($A5="",$B5=""),"",SUMIFS('Human Time Log'!$H$4:$H$503,'Human Time Log'!$A$4:$A$503,$A5,'Human Time Log'!$B$4:$B$503,$B5,'Human Time Log'!$D$4:$D$503,"Meeting")+SUMIFS('Human Time Log'!$H$4:$H$503,'Human Time Log'!$A$4:$A$503,$A5,'Human Time Log'!$B$4:$B$503,$B5,'Human Time Log'!$D$4:$D$503,"Other"))</x:f>
      </x:c>
      <x:c r="M5" s="138" t="str">
        <x:f>IF(OR(C5="",D5=""),"",D5-C5)</x:f>
      </x:c>
      <x:c r="N5" s="141"/>
    </x:row>
    <x:row r="6">
      <x:c r="A6" s="139"/>
      <x:c r="B6" s="117"/>
      <x:c r="C6" s="160"/>
      <x:c r="D6" s="138" t="str">
        <x:f>IF(OR(A6="",B6=""),"",SUMIFS('Human Time Log'!$H$4:$H$503,'Human Time Log'!$A$4:$A$503,A6,'Human Time Log'!$B$4:$B$503,B6))</x:f>
      </x:c>
      <x:c r="E6" s="138" t="str">
        <x:f>IF(OR($A6="",$B6=""),"",SUMIFS('Human Time Log'!$H$4:$H$503,'Human Time Log'!$A$4:$A$503,$A6,'Human Time Log'!$B$4:$B$503,$B6,'Human Time Log'!$D$4:$D$503,"Analysis &amp; Prompting"))</x:f>
      </x:c>
      <x:c r="F6" s="138" t="str">
        <x:f>IF(OR($A6="",$B6=""),"",SUMIFS('Human Time Log'!$H$4:$H$503,'Human Time Log'!$A$4:$A$503,$A6,'Human Time Log'!$B$4:$B$503,$B6,'Human Time Log'!$D$4:$D$503,"Agent Supervision"))</x:f>
      </x:c>
      <x:c r="G6" s="138" t="str">
        <x:f>IF(OR($A6="",$B6=""),"",SUMIFS('Human Time Log'!$H$4:$H$503,'Human Time Log'!$A$4:$A$503,$A6,'Human Time Log'!$B$4:$B$503,$B6,'Human Time Log'!$D$4:$D$503,"Human Review"))</x:f>
      </x:c>
      <x:c r="H6" s="138" t="str">
        <x:f>IF(OR($A6="",$B6=""),"",SUMIFS('Human Time Log'!$H$4:$H$503,'Human Time Log'!$A$4:$A$503,$A6,'Human Time Log'!$B$4:$B$503,$B6,'Human Time Log'!$D$4:$D$503,"Testing / Acceptance"))</x:f>
      </x:c>
      <x:c r="I6" s="138" t="str">
        <x:f>IF(OR($A6="",$B6=""),"",SUMIFS('Human Time Log'!$H$4:$H$503,'Human Time Log'!$A$4:$A$503,$A6,'Human Time Log'!$B$4:$B$503,$B6,'Human Time Log'!$D$4:$D$503,"Fix / Rework"))</x:f>
      </x:c>
      <x:c r="J6" s="138" t="str">
        <x:f>IF(OR($A6="",$B6=""),"",SUMIFS('Human Time Log'!$H$4:$H$503,'Human Time Log'!$A$4:$A$503,$A6,'Human Time Log'!$B$4:$B$503,$B6,'Human Time Log'!$D$4:$D$503,"Integration / Deployment"))</x:f>
      </x:c>
      <x:c r="K6" s="138" t="str">
        <x:f>IF(OR($A6="",$B6=""),"",SUMIFS('Human Time Log'!$H$4:$H$503,'Human Time Log'!$A$4:$A$503,$A6,'Human Time Log'!$B$4:$B$503,$B6,'Human Time Log'!$D$4:$D$503,"PM / Documentation"))</x:f>
      </x:c>
      <x:c r="L6" s="138" t="str">
        <x:f>IF(OR($A6="",$B6=""),"",SUMIFS('Human Time Log'!$H$4:$H$503,'Human Time Log'!$A$4:$A$503,$A6,'Human Time Log'!$B$4:$B$503,$B6,'Human Time Log'!$D$4:$D$503,"Meeting")+SUMIFS('Human Time Log'!$H$4:$H$503,'Human Time Log'!$A$4:$A$503,$A6,'Human Time Log'!$B$4:$B$503,$B6,'Human Time Log'!$D$4:$D$503,"Other"))</x:f>
      </x:c>
      <x:c r="M6" s="138" t="str">
        <x:f>IF(OR(C6="",D6=""),"",D6-C6)</x:f>
      </x:c>
      <x:c r="N6" s="141"/>
    </x:row>
    <x:row r="7">
      <x:c r="A7" s="139"/>
      <x:c r="B7" s="117"/>
      <x:c r="C7" s="160"/>
      <x:c r="D7" s="138" t="str">
        <x:f>IF(OR(A7="",B7=""),"",SUMIFS('Human Time Log'!$H$4:$H$503,'Human Time Log'!$A$4:$A$503,A7,'Human Time Log'!$B$4:$B$503,B7))</x:f>
      </x:c>
      <x:c r="E7" s="138" t="str">
        <x:f>IF(OR($A7="",$B7=""),"",SUMIFS('Human Time Log'!$H$4:$H$503,'Human Time Log'!$A$4:$A$503,$A7,'Human Time Log'!$B$4:$B$503,$B7,'Human Time Log'!$D$4:$D$503,"Analysis &amp; Prompting"))</x:f>
      </x:c>
      <x:c r="F7" s="138" t="str">
        <x:f>IF(OR($A7="",$B7=""),"",SUMIFS('Human Time Log'!$H$4:$H$503,'Human Time Log'!$A$4:$A$503,$A7,'Human Time Log'!$B$4:$B$503,$B7,'Human Time Log'!$D$4:$D$503,"Agent Supervision"))</x:f>
      </x:c>
      <x:c r="G7" s="138" t="str">
        <x:f>IF(OR($A7="",$B7=""),"",SUMIFS('Human Time Log'!$H$4:$H$503,'Human Time Log'!$A$4:$A$503,$A7,'Human Time Log'!$B$4:$B$503,$B7,'Human Time Log'!$D$4:$D$503,"Human Review"))</x:f>
      </x:c>
      <x:c r="H7" s="138" t="str">
        <x:f>IF(OR($A7="",$B7=""),"",SUMIFS('Human Time Log'!$H$4:$H$503,'Human Time Log'!$A$4:$A$503,$A7,'Human Time Log'!$B$4:$B$503,$B7,'Human Time Log'!$D$4:$D$503,"Testing / Acceptance"))</x:f>
      </x:c>
      <x:c r="I7" s="138" t="str">
        <x:f>IF(OR($A7="",$B7=""),"",SUMIFS('Human Time Log'!$H$4:$H$503,'Human Time Log'!$A$4:$A$503,$A7,'Human Time Log'!$B$4:$B$503,$B7,'Human Time Log'!$D$4:$D$503,"Fix / Rework"))</x:f>
      </x:c>
      <x:c r="J7" s="138" t="str">
        <x:f>IF(OR($A7="",$B7=""),"",SUMIFS('Human Time Log'!$H$4:$H$503,'Human Time Log'!$A$4:$A$503,$A7,'Human Time Log'!$B$4:$B$503,$B7,'Human Time Log'!$D$4:$D$503,"Integration / Deployment"))</x:f>
      </x:c>
      <x:c r="K7" s="138" t="str">
        <x:f>IF(OR($A7="",$B7=""),"",SUMIFS('Human Time Log'!$H$4:$H$503,'Human Time Log'!$A$4:$A$503,$A7,'Human Time Log'!$B$4:$B$503,$B7,'Human Time Log'!$D$4:$D$503,"PM / Documentation"))</x:f>
      </x:c>
      <x:c r="L7" s="138" t="str">
        <x:f>IF(OR($A7="",$B7=""),"",SUMIFS('Human Time Log'!$H$4:$H$503,'Human Time Log'!$A$4:$A$503,$A7,'Human Time Log'!$B$4:$B$503,$B7,'Human Time Log'!$D$4:$D$503,"Meeting")+SUMIFS('Human Time Log'!$H$4:$H$503,'Human Time Log'!$A$4:$A$503,$A7,'Human Time Log'!$B$4:$B$503,$B7,'Human Time Log'!$D$4:$D$503,"Other"))</x:f>
      </x:c>
      <x:c r="M7" s="138" t="str">
        <x:f>IF(OR(C7="",D7=""),"",D7-C7)</x:f>
      </x:c>
      <x:c r="N7" s="141"/>
    </x:row>
    <x:row r="8">
      <x:c r="A8" s="139"/>
      <x:c r="B8" s="117"/>
      <x:c r="C8" s="160"/>
      <x:c r="D8" s="138" t="str">
        <x:f>IF(OR(A8="",B8=""),"",SUMIFS('Human Time Log'!$H$4:$H$503,'Human Time Log'!$A$4:$A$503,A8,'Human Time Log'!$B$4:$B$503,B8))</x:f>
      </x:c>
      <x:c r="E8" s="138" t="str">
        <x:f>IF(OR($A8="",$B8=""),"",SUMIFS('Human Time Log'!$H$4:$H$503,'Human Time Log'!$A$4:$A$503,$A8,'Human Time Log'!$B$4:$B$503,$B8,'Human Time Log'!$D$4:$D$503,"Analysis &amp; Prompting"))</x:f>
      </x:c>
      <x:c r="F8" s="138" t="str">
        <x:f>IF(OR($A8="",$B8=""),"",SUMIFS('Human Time Log'!$H$4:$H$503,'Human Time Log'!$A$4:$A$503,$A8,'Human Time Log'!$B$4:$B$503,$B8,'Human Time Log'!$D$4:$D$503,"Agent Supervision"))</x:f>
      </x:c>
      <x:c r="G8" s="138" t="str">
        <x:f>IF(OR($A8="",$B8=""),"",SUMIFS('Human Time Log'!$H$4:$H$503,'Human Time Log'!$A$4:$A$503,$A8,'Human Time Log'!$B$4:$B$503,$B8,'Human Time Log'!$D$4:$D$503,"Human Review"))</x:f>
      </x:c>
      <x:c r="H8" s="138" t="str">
        <x:f>IF(OR($A8="",$B8=""),"",SUMIFS('Human Time Log'!$H$4:$H$503,'Human Time Log'!$A$4:$A$503,$A8,'Human Time Log'!$B$4:$B$503,$B8,'Human Time Log'!$D$4:$D$503,"Testing / Acceptance"))</x:f>
      </x:c>
      <x:c r="I8" s="138" t="str">
        <x:f>IF(OR($A8="",$B8=""),"",SUMIFS('Human Time Log'!$H$4:$H$503,'Human Time Log'!$A$4:$A$503,$A8,'Human Time Log'!$B$4:$B$503,$B8,'Human Time Log'!$D$4:$D$503,"Fix / Rework"))</x:f>
      </x:c>
      <x:c r="J8" s="138" t="str">
        <x:f>IF(OR($A8="",$B8=""),"",SUMIFS('Human Time Log'!$H$4:$H$503,'Human Time Log'!$A$4:$A$503,$A8,'Human Time Log'!$B$4:$B$503,$B8,'Human Time Log'!$D$4:$D$503,"Integration / Deployment"))</x:f>
      </x:c>
      <x:c r="K8" s="138" t="str">
        <x:f>IF(OR($A8="",$B8=""),"",SUMIFS('Human Time Log'!$H$4:$H$503,'Human Time Log'!$A$4:$A$503,$A8,'Human Time Log'!$B$4:$B$503,$B8,'Human Time Log'!$D$4:$D$503,"PM / Documentation"))</x:f>
      </x:c>
      <x:c r="L8" s="138" t="str">
        <x:f>IF(OR($A8="",$B8=""),"",SUMIFS('Human Time Log'!$H$4:$H$503,'Human Time Log'!$A$4:$A$503,$A8,'Human Time Log'!$B$4:$B$503,$B8,'Human Time Log'!$D$4:$D$503,"Meeting")+SUMIFS('Human Time Log'!$H$4:$H$503,'Human Time Log'!$A$4:$A$503,$A8,'Human Time Log'!$B$4:$B$503,$B8,'Human Time Log'!$D$4:$D$503,"Other"))</x:f>
      </x:c>
      <x:c r="M8" s="138" t="str">
        <x:f>IF(OR(C8="",D8=""),"",D8-C8)</x:f>
      </x:c>
      <x:c r="N8" s="141"/>
    </x:row>
    <x:row r="9">
      <x:c r="A9" s="139"/>
      <x:c r="B9" s="117"/>
      <x:c r="C9" s="160"/>
      <x:c r="D9" s="138" t="str">
        <x:f>IF(OR(A9="",B9=""),"",SUMIFS('Human Time Log'!$H$4:$H$503,'Human Time Log'!$A$4:$A$503,A9,'Human Time Log'!$B$4:$B$503,B9))</x:f>
      </x:c>
      <x:c r="E9" s="138" t="str">
        <x:f>IF(OR($A9="",$B9=""),"",SUMIFS('Human Time Log'!$H$4:$H$503,'Human Time Log'!$A$4:$A$503,$A9,'Human Time Log'!$B$4:$B$503,$B9,'Human Time Log'!$D$4:$D$503,"Analysis &amp; Prompting"))</x:f>
      </x:c>
      <x:c r="F9" s="138" t="str">
        <x:f>IF(OR($A9="",$B9=""),"",SUMIFS('Human Time Log'!$H$4:$H$503,'Human Time Log'!$A$4:$A$503,$A9,'Human Time Log'!$B$4:$B$503,$B9,'Human Time Log'!$D$4:$D$503,"Agent Supervision"))</x:f>
      </x:c>
      <x:c r="G9" s="138" t="str">
        <x:f>IF(OR($A9="",$B9=""),"",SUMIFS('Human Time Log'!$H$4:$H$503,'Human Time Log'!$A$4:$A$503,$A9,'Human Time Log'!$B$4:$B$503,$B9,'Human Time Log'!$D$4:$D$503,"Human Review"))</x:f>
      </x:c>
      <x:c r="H9" s="138" t="str">
        <x:f>IF(OR($A9="",$B9=""),"",SUMIFS('Human Time Log'!$H$4:$H$503,'Human Time Log'!$A$4:$A$503,$A9,'Human Time Log'!$B$4:$B$503,$B9,'Human Time Log'!$D$4:$D$503,"Testing / Acceptance"))</x:f>
      </x:c>
      <x:c r="I9" s="138" t="str">
        <x:f>IF(OR($A9="",$B9=""),"",SUMIFS('Human Time Log'!$H$4:$H$503,'Human Time Log'!$A$4:$A$503,$A9,'Human Time Log'!$B$4:$B$503,$B9,'Human Time Log'!$D$4:$D$503,"Fix / Rework"))</x:f>
      </x:c>
      <x:c r="J9" s="138" t="str">
        <x:f>IF(OR($A9="",$B9=""),"",SUMIFS('Human Time Log'!$H$4:$H$503,'Human Time Log'!$A$4:$A$503,$A9,'Human Time Log'!$B$4:$B$503,$B9,'Human Time Log'!$D$4:$D$503,"Integration / Deployment"))</x:f>
      </x:c>
      <x:c r="K9" s="138" t="str">
        <x:f>IF(OR($A9="",$B9=""),"",SUMIFS('Human Time Log'!$H$4:$H$503,'Human Time Log'!$A$4:$A$503,$A9,'Human Time Log'!$B$4:$B$503,$B9,'Human Time Log'!$D$4:$D$503,"PM / Documentation"))</x:f>
      </x:c>
      <x:c r="L9" s="138" t="str">
        <x:f>IF(OR($A9="",$B9=""),"",SUMIFS('Human Time Log'!$H$4:$H$503,'Human Time Log'!$A$4:$A$503,$A9,'Human Time Log'!$B$4:$B$503,$B9,'Human Time Log'!$D$4:$D$503,"Meeting")+SUMIFS('Human Time Log'!$H$4:$H$503,'Human Time Log'!$A$4:$A$503,$A9,'Human Time Log'!$B$4:$B$503,$B9,'Human Time Log'!$D$4:$D$503,"Other"))</x:f>
      </x:c>
      <x:c r="M9" s="138" t="str">
        <x:f>IF(OR(C9="",D9=""),"",D9-C9)</x:f>
      </x:c>
      <x:c r="N9" s="141"/>
    </x:row>
    <x:row r="10">
      <x:c r="A10" s="139"/>
      <x:c r="B10" s="117"/>
      <x:c r="C10" s="160"/>
      <x:c r="D10" s="138" t="str">
        <x:f>IF(OR(A10="",B10=""),"",SUMIFS('Human Time Log'!$H$4:$H$503,'Human Time Log'!$A$4:$A$503,A10,'Human Time Log'!$B$4:$B$503,B10))</x:f>
      </x:c>
      <x:c r="E10" s="138" t="str">
        <x:f>IF(OR($A10="",$B10=""),"",SUMIFS('Human Time Log'!$H$4:$H$503,'Human Time Log'!$A$4:$A$503,$A10,'Human Time Log'!$B$4:$B$503,$B10,'Human Time Log'!$D$4:$D$503,"Analysis &amp; Prompting"))</x:f>
      </x:c>
      <x:c r="F10" s="138" t="str">
        <x:f>IF(OR($A10="",$B10=""),"",SUMIFS('Human Time Log'!$H$4:$H$503,'Human Time Log'!$A$4:$A$503,$A10,'Human Time Log'!$B$4:$B$503,$B10,'Human Time Log'!$D$4:$D$503,"Agent Supervision"))</x:f>
      </x:c>
      <x:c r="G10" s="138" t="str">
        <x:f>IF(OR($A10="",$B10=""),"",SUMIFS('Human Time Log'!$H$4:$H$503,'Human Time Log'!$A$4:$A$503,$A10,'Human Time Log'!$B$4:$B$503,$B10,'Human Time Log'!$D$4:$D$503,"Human Review"))</x:f>
      </x:c>
      <x:c r="H10" s="138" t="str">
        <x:f>IF(OR($A10="",$B10=""),"",SUMIFS('Human Time Log'!$H$4:$H$503,'Human Time Log'!$A$4:$A$503,$A10,'Human Time Log'!$B$4:$B$503,$B10,'Human Time Log'!$D$4:$D$503,"Testing / Acceptance"))</x:f>
      </x:c>
      <x:c r="I10" s="138" t="str">
        <x:f>IF(OR($A10="",$B10=""),"",SUMIFS('Human Time Log'!$H$4:$H$503,'Human Time Log'!$A$4:$A$503,$A10,'Human Time Log'!$B$4:$B$503,$B10,'Human Time Log'!$D$4:$D$503,"Fix / Rework"))</x:f>
      </x:c>
      <x:c r="J10" s="138" t="str">
        <x:f>IF(OR($A10="",$B10=""),"",SUMIFS('Human Time Log'!$H$4:$H$503,'Human Time Log'!$A$4:$A$503,$A10,'Human Time Log'!$B$4:$B$503,$B10,'Human Time Log'!$D$4:$D$503,"Integration / Deployment"))</x:f>
      </x:c>
      <x:c r="K10" s="138" t="str">
        <x:f>IF(OR($A10="",$B10=""),"",SUMIFS('Human Time Log'!$H$4:$H$503,'Human Time Log'!$A$4:$A$503,$A10,'Human Time Log'!$B$4:$B$503,$B10,'Human Time Log'!$D$4:$D$503,"PM / Documentation"))</x:f>
      </x:c>
      <x:c r="L10" s="138" t="str">
        <x:f>IF(OR($A10="",$B10=""),"",SUMIFS('Human Time Log'!$H$4:$H$503,'Human Time Log'!$A$4:$A$503,$A10,'Human Time Log'!$B$4:$B$503,$B10,'Human Time Log'!$D$4:$D$503,"Meeting")+SUMIFS('Human Time Log'!$H$4:$H$503,'Human Time Log'!$A$4:$A$503,$A10,'Human Time Log'!$B$4:$B$503,$B10,'Human Time Log'!$D$4:$D$503,"Other"))</x:f>
      </x:c>
      <x:c r="M10" s="138" t="str">
        <x:f>IF(OR(C10="",D10=""),"",D10-C10)</x:f>
      </x:c>
      <x:c r="N10" s="141"/>
    </x:row>
    <x:row r="11">
      <x:c r="A11" s="139"/>
      <x:c r="B11" s="117"/>
      <x:c r="C11" s="160"/>
      <x:c r="D11" s="138" t="str">
        <x:f>IF(OR(A11="",B11=""),"",SUMIFS('Human Time Log'!$H$4:$H$503,'Human Time Log'!$A$4:$A$503,A11,'Human Time Log'!$B$4:$B$503,B11))</x:f>
      </x:c>
      <x:c r="E11" s="138" t="str">
        <x:f>IF(OR($A11="",$B11=""),"",SUMIFS('Human Time Log'!$H$4:$H$503,'Human Time Log'!$A$4:$A$503,$A11,'Human Time Log'!$B$4:$B$503,$B11,'Human Time Log'!$D$4:$D$503,"Analysis &amp; Prompting"))</x:f>
      </x:c>
      <x:c r="F11" s="138" t="str">
        <x:f>IF(OR($A11="",$B11=""),"",SUMIFS('Human Time Log'!$H$4:$H$503,'Human Time Log'!$A$4:$A$503,$A11,'Human Time Log'!$B$4:$B$503,$B11,'Human Time Log'!$D$4:$D$503,"Agent Supervision"))</x:f>
      </x:c>
      <x:c r="G11" s="138" t="str">
        <x:f>IF(OR($A11="",$B11=""),"",SUMIFS('Human Time Log'!$H$4:$H$503,'Human Time Log'!$A$4:$A$503,$A11,'Human Time Log'!$B$4:$B$503,$B11,'Human Time Log'!$D$4:$D$503,"Human Review"))</x:f>
      </x:c>
      <x:c r="H11" s="138" t="str">
        <x:f>IF(OR($A11="",$B11=""),"",SUMIFS('Human Time Log'!$H$4:$H$503,'Human Time Log'!$A$4:$A$503,$A11,'Human Time Log'!$B$4:$B$503,$B11,'Human Time Log'!$D$4:$D$503,"Testing / Acceptance"))</x:f>
      </x:c>
      <x:c r="I11" s="138" t="str">
        <x:f>IF(OR($A11="",$B11=""),"",SUMIFS('Human Time Log'!$H$4:$H$503,'Human Time Log'!$A$4:$A$503,$A11,'Human Time Log'!$B$4:$B$503,$B11,'Human Time Log'!$D$4:$D$503,"Fix / Rework"))</x:f>
      </x:c>
      <x:c r="J11" s="138" t="str">
        <x:f>IF(OR($A11="",$B11=""),"",SUMIFS('Human Time Log'!$H$4:$H$503,'Human Time Log'!$A$4:$A$503,$A11,'Human Time Log'!$B$4:$B$503,$B11,'Human Time Log'!$D$4:$D$503,"Integration / Deployment"))</x:f>
      </x:c>
      <x:c r="K11" s="138" t="str">
        <x:f>IF(OR($A11="",$B11=""),"",SUMIFS('Human Time Log'!$H$4:$H$503,'Human Time Log'!$A$4:$A$503,$A11,'Human Time Log'!$B$4:$B$503,$B11,'Human Time Log'!$D$4:$D$503,"PM / Documentation"))</x:f>
      </x:c>
      <x:c r="L11" s="138" t="str">
        <x:f>IF(OR($A11="",$B11=""),"",SUMIFS('Human Time Log'!$H$4:$H$503,'Human Time Log'!$A$4:$A$503,$A11,'Human Time Log'!$B$4:$B$503,$B11,'Human Time Log'!$D$4:$D$503,"Meeting")+SUMIFS('Human Time Log'!$H$4:$H$503,'Human Time Log'!$A$4:$A$503,$A11,'Human Time Log'!$B$4:$B$503,$B11,'Human Time Log'!$D$4:$D$503,"Other"))</x:f>
      </x:c>
      <x:c r="M11" s="138" t="str">
        <x:f>IF(OR(C11="",D11=""),"",D11-C11)</x:f>
      </x:c>
      <x:c r="N11" s="141"/>
    </x:row>
    <x:row r="12">
      <x:c r="A12" s="139"/>
      <x:c r="B12" s="117"/>
      <x:c r="C12" s="160"/>
      <x:c r="D12" s="138" t="str">
        <x:f>IF(OR(A12="",B12=""),"",SUMIFS('Human Time Log'!$H$4:$H$503,'Human Time Log'!$A$4:$A$503,A12,'Human Time Log'!$B$4:$B$503,B12))</x:f>
      </x:c>
      <x:c r="E12" s="138" t="str">
        <x:f>IF(OR($A12="",$B12=""),"",SUMIFS('Human Time Log'!$H$4:$H$503,'Human Time Log'!$A$4:$A$503,$A12,'Human Time Log'!$B$4:$B$503,$B12,'Human Time Log'!$D$4:$D$503,"Analysis &amp; Prompting"))</x:f>
      </x:c>
      <x:c r="F12" s="138" t="str">
        <x:f>IF(OR($A12="",$B12=""),"",SUMIFS('Human Time Log'!$H$4:$H$503,'Human Time Log'!$A$4:$A$503,$A12,'Human Time Log'!$B$4:$B$503,$B12,'Human Time Log'!$D$4:$D$503,"Agent Supervision"))</x:f>
      </x:c>
      <x:c r="G12" s="138" t="str">
        <x:f>IF(OR($A12="",$B12=""),"",SUMIFS('Human Time Log'!$H$4:$H$503,'Human Time Log'!$A$4:$A$503,$A12,'Human Time Log'!$B$4:$B$503,$B12,'Human Time Log'!$D$4:$D$503,"Human Review"))</x:f>
      </x:c>
      <x:c r="H12" s="138" t="str">
        <x:f>IF(OR($A12="",$B12=""),"",SUMIFS('Human Time Log'!$H$4:$H$503,'Human Time Log'!$A$4:$A$503,$A12,'Human Time Log'!$B$4:$B$503,$B12,'Human Time Log'!$D$4:$D$503,"Testing / Acceptance"))</x:f>
      </x:c>
      <x:c r="I12" s="138" t="str">
        <x:f>IF(OR($A12="",$B12=""),"",SUMIFS('Human Time Log'!$H$4:$H$503,'Human Time Log'!$A$4:$A$503,$A12,'Human Time Log'!$B$4:$B$503,$B12,'Human Time Log'!$D$4:$D$503,"Fix / Rework"))</x:f>
      </x:c>
      <x:c r="J12" s="138" t="str">
        <x:f>IF(OR($A12="",$B12=""),"",SUMIFS('Human Time Log'!$H$4:$H$503,'Human Time Log'!$A$4:$A$503,$A12,'Human Time Log'!$B$4:$B$503,$B12,'Human Time Log'!$D$4:$D$503,"Integration / Deployment"))</x:f>
      </x:c>
      <x:c r="K12" s="138" t="str">
        <x:f>IF(OR($A12="",$B12=""),"",SUMIFS('Human Time Log'!$H$4:$H$503,'Human Time Log'!$A$4:$A$503,$A12,'Human Time Log'!$B$4:$B$503,$B12,'Human Time Log'!$D$4:$D$503,"PM / Documentation"))</x:f>
      </x:c>
      <x:c r="L12" s="138" t="str">
        <x:f>IF(OR($A12="",$B12=""),"",SUMIFS('Human Time Log'!$H$4:$H$503,'Human Time Log'!$A$4:$A$503,$A12,'Human Time Log'!$B$4:$B$503,$B12,'Human Time Log'!$D$4:$D$503,"Meeting")+SUMIFS('Human Time Log'!$H$4:$H$503,'Human Time Log'!$A$4:$A$503,$A12,'Human Time Log'!$B$4:$B$503,$B12,'Human Time Log'!$D$4:$D$503,"Other"))</x:f>
      </x:c>
      <x:c r="M12" s="138" t="str">
        <x:f>IF(OR(C12="",D12=""),"",D12-C12)</x:f>
      </x:c>
      <x:c r="N12" s="141"/>
    </x:row>
    <x:row r="13">
      <x:c r="A13" s="139"/>
      <x:c r="B13" s="117"/>
      <x:c r="C13" s="160"/>
      <x:c r="D13" s="138" t="str">
        <x:f>IF(OR(A13="",B13=""),"",SUMIFS('Human Time Log'!$H$4:$H$503,'Human Time Log'!$A$4:$A$503,A13,'Human Time Log'!$B$4:$B$503,B13))</x:f>
      </x:c>
      <x:c r="E13" s="138" t="str">
        <x:f>IF(OR($A13="",$B13=""),"",SUMIFS('Human Time Log'!$H$4:$H$503,'Human Time Log'!$A$4:$A$503,$A13,'Human Time Log'!$B$4:$B$503,$B13,'Human Time Log'!$D$4:$D$503,"Analysis &amp; Prompting"))</x:f>
      </x:c>
      <x:c r="F13" s="138" t="str">
        <x:f>IF(OR($A13="",$B13=""),"",SUMIFS('Human Time Log'!$H$4:$H$503,'Human Time Log'!$A$4:$A$503,$A13,'Human Time Log'!$B$4:$B$503,$B13,'Human Time Log'!$D$4:$D$503,"Agent Supervision"))</x:f>
      </x:c>
      <x:c r="G13" s="138" t="str">
        <x:f>IF(OR($A13="",$B13=""),"",SUMIFS('Human Time Log'!$H$4:$H$503,'Human Time Log'!$A$4:$A$503,$A13,'Human Time Log'!$B$4:$B$503,$B13,'Human Time Log'!$D$4:$D$503,"Human Review"))</x:f>
      </x:c>
      <x:c r="H13" s="138" t="str">
        <x:f>IF(OR($A13="",$B13=""),"",SUMIFS('Human Time Log'!$H$4:$H$503,'Human Time Log'!$A$4:$A$503,$A13,'Human Time Log'!$B$4:$B$503,$B13,'Human Time Log'!$D$4:$D$503,"Testing / Acceptance"))</x:f>
      </x:c>
      <x:c r="I13" s="138" t="str">
        <x:f>IF(OR($A13="",$B13=""),"",SUMIFS('Human Time Log'!$H$4:$H$503,'Human Time Log'!$A$4:$A$503,$A13,'Human Time Log'!$B$4:$B$503,$B13,'Human Time Log'!$D$4:$D$503,"Fix / Rework"))</x:f>
      </x:c>
      <x:c r="J13" s="138" t="str">
        <x:f>IF(OR($A13="",$B13=""),"",SUMIFS('Human Time Log'!$H$4:$H$503,'Human Time Log'!$A$4:$A$503,$A13,'Human Time Log'!$B$4:$B$503,$B13,'Human Time Log'!$D$4:$D$503,"Integration / Deployment"))</x:f>
      </x:c>
      <x:c r="K13" s="138" t="str">
        <x:f>IF(OR($A13="",$B13=""),"",SUMIFS('Human Time Log'!$H$4:$H$503,'Human Time Log'!$A$4:$A$503,$A13,'Human Time Log'!$B$4:$B$503,$B13,'Human Time Log'!$D$4:$D$503,"PM / Documentation"))</x:f>
      </x:c>
      <x:c r="L13" s="138" t="str">
        <x:f>IF(OR($A13="",$B13=""),"",SUMIFS('Human Time Log'!$H$4:$H$503,'Human Time Log'!$A$4:$A$503,$A13,'Human Time Log'!$B$4:$B$503,$B13,'Human Time Log'!$D$4:$D$503,"Meeting")+SUMIFS('Human Time Log'!$H$4:$H$503,'Human Time Log'!$A$4:$A$503,$A13,'Human Time Log'!$B$4:$B$503,$B13,'Human Time Log'!$D$4:$D$503,"Other"))</x:f>
      </x:c>
      <x:c r="M13" s="138" t="str">
        <x:f>IF(OR(C13="",D13=""),"",D13-C13)</x:f>
      </x:c>
      <x:c r="N13" s="141"/>
    </x:row>
    <x:row r="14">
      <x:c r="A14" s="139"/>
      <x:c r="B14" s="117"/>
      <x:c r="C14" s="160"/>
      <x:c r="D14" s="138" t="str">
        <x:f>IF(OR(A14="",B14=""),"",SUMIFS('Human Time Log'!$H$4:$H$503,'Human Time Log'!$A$4:$A$503,A14,'Human Time Log'!$B$4:$B$503,B14))</x:f>
      </x:c>
      <x:c r="E14" s="138" t="str">
        <x:f>IF(OR($A14="",$B14=""),"",SUMIFS('Human Time Log'!$H$4:$H$503,'Human Time Log'!$A$4:$A$503,$A14,'Human Time Log'!$B$4:$B$503,$B14,'Human Time Log'!$D$4:$D$503,"Analysis &amp; Prompting"))</x:f>
      </x:c>
      <x:c r="F14" s="138" t="str">
        <x:f>IF(OR($A14="",$B14=""),"",SUMIFS('Human Time Log'!$H$4:$H$503,'Human Time Log'!$A$4:$A$503,$A14,'Human Time Log'!$B$4:$B$503,$B14,'Human Time Log'!$D$4:$D$503,"Agent Supervision"))</x:f>
      </x:c>
      <x:c r="G14" s="138" t="str">
        <x:f>IF(OR($A14="",$B14=""),"",SUMIFS('Human Time Log'!$H$4:$H$503,'Human Time Log'!$A$4:$A$503,$A14,'Human Time Log'!$B$4:$B$503,$B14,'Human Time Log'!$D$4:$D$503,"Human Review"))</x:f>
      </x:c>
      <x:c r="H14" s="138" t="str">
        <x:f>IF(OR($A14="",$B14=""),"",SUMIFS('Human Time Log'!$H$4:$H$503,'Human Time Log'!$A$4:$A$503,$A14,'Human Time Log'!$B$4:$B$503,$B14,'Human Time Log'!$D$4:$D$503,"Testing / Acceptance"))</x:f>
      </x:c>
      <x:c r="I14" s="138" t="str">
        <x:f>IF(OR($A14="",$B14=""),"",SUMIFS('Human Time Log'!$H$4:$H$503,'Human Time Log'!$A$4:$A$503,$A14,'Human Time Log'!$B$4:$B$503,$B14,'Human Time Log'!$D$4:$D$503,"Fix / Rework"))</x:f>
      </x:c>
      <x:c r="J14" s="138" t="str">
        <x:f>IF(OR($A14="",$B14=""),"",SUMIFS('Human Time Log'!$H$4:$H$503,'Human Time Log'!$A$4:$A$503,$A14,'Human Time Log'!$B$4:$B$503,$B14,'Human Time Log'!$D$4:$D$503,"Integration / Deployment"))</x:f>
      </x:c>
      <x:c r="K14" s="138" t="str">
        <x:f>IF(OR($A14="",$B14=""),"",SUMIFS('Human Time Log'!$H$4:$H$503,'Human Time Log'!$A$4:$A$503,$A14,'Human Time Log'!$B$4:$B$503,$B14,'Human Time Log'!$D$4:$D$503,"PM / Documentation"))</x:f>
      </x:c>
      <x:c r="L14" s="138" t="str">
        <x:f>IF(OR($A14="",$B14=""),"",SUMIFS('Human Time Log'!$H$4:$H$503,'Human Time Log'!$A$4:$A$503,$A14,'Human Time Log'!$B$4:$B$503,$B14,'Human Time Log'!$D$4:$D$503,"Meeting")+SUMIFS('Human Time Log'!$H$4:$H$503,'Human Time Log'!$A$4:$A$503,$A14,'Human Time Log'!$B$4:$B$503,$B14,'Human Time Log'!$D$4:$D$503,"Other"))</x:f>
      </x:c>
      <x:c r="M14" s="138" t="str">
        <x:f>IF(OR(C14="",D14=""),"",D14-C14)</x:f>
      </x:c>
      <x:c r="N14" s="141"/>
    </x:row>
    <x:row r="15">
      <x:c r="A15" s="139"/>
      <x:c r="B15" s="117"/>
      <x:c r="C15" s="160"/>
      <x:c r="D15" s="138" t="str">
        <x:f>IF(OR(A15="",B15=""),"",SUMIFS('Human Time Log'!$H$4:$H$503,'Human Time Log'!$A$4:$A$503,A15,'Human Time Log'!$B$4:$B$503,B15))</x:f>
      </x:c>
      <x:c r="E15" s="138" t="str">
        <x:f>IF(OR($A15="",$B15=""),"",SUMIFS('Human Time Log'!$H$4:$H$503,'Human Time Log'!$A$4:$A$503,$A15,'Human Time Log'!$B$4:$B$503,$B15,'Human Time Log'!$D$4:$D$503,"Analysis &amp; Prompting"))</x:f>
      </x:c>
      <x:c r="F15" s="138" t="str">
        <x:f>IF(OR($A15="",$B15=""),"",SUMIFS('Human Time Log'!$H$4:$H$503,'Human Time Log'!$A$4:$A$503,$A15,'Human Time Log'!$B$4:$B$503,$B15,'Human Time Log'!$D$4:$D$503,"Agent Supervision"))</x:f>
      </x:c>
      <x:c r="G15" s="138" t="str">
        <x:f>IF(OR($A15="",$B15=""),"",SUMIFS('Human Time Log'!$H$4:$H$503,'Human Time Log'!$A$4:$A$503,$A15,'Human Time Log'!$B$4:$B$503,$B15,'Human Time Log'!$D$4:$D$503,"Human Review"))</x:f>
      </x:c>
      <x:c r="H15" s="138" t="str">
        <x:f>IF(OR($A15="",$B15=""),"",SUMIFS('Human Time Log'!$H$4:$H$503,'Human Time Log'!$A$4:$A$503,$A15,'Human Time Log'!$B$4:$B$503,$B15,'Human Time Log'!$D$4:$D$503,"Testing / Acceptance"))</x:f>
      </x:c>
      <x:c r="I15" s="138" t="str">
        <x:f>IF(OR($A15="",$B15=""),"",SUMIFS('Human Time Log'!$H$4:$H$503,'Human Time Log'!$A$4:$A$503,$A15,'Human Time Log'!$B$4:$B$503,$B15,'Human Time Log'!$D$4:$D$503,"Fix / Rework"))</x:f>
      </x:c>
      <x:c r="J15" s="138" t="str">
        <x:f>IF(OR($A15="",$B15=""),"",SUMIFS('Human Time Log'!$H$4:$H$503,'Human Time Log'!$A$4:$A$503,$A15,'Human Time Log'!$B$4:$B$503,$B15,'Human Time Log'!$D$4:$D$503,"Integration / Deployment"))</x:f>
      </x:c>
      <x:c r="K15" s="138" t="str">
        <x:f>IF(OR($A15="",$B15=""),"",SUMIFS('Human Time Log'!$H$4:$H$503,'Human Time Log'!$A$4:$A$503,$A15,'Human Time Log'!$B$4:$B$503,$B15,'Human Time Log'!$D$4:$D$503,"PM / Documentation"))</x:f>
      </x:c>
      <x:c r="L15" s="138" t="str">
        <x:f>IF(OR($A15="",$B15=""),"",SUMIFS('Human Time Log'!$H$4:$H$503,'Human Time Log'!$A$4:$A$503,$A15,'Human Time Log'!$B$4:$B$503,$B15,'Human Time Log'!$D$4:$D$503,"Meeting")+SUMIFS('Human Time Log'!$H$4:$H$503,'Human Time Log'!$A$4:$A$503,$A15,'Human Time Log'!$B$4:$B$503,$B15,'Human Time Log'!$D$4:$D$503,"Other"))</x:f>
      </x:c>
      <x:c r="M15" s="138" t="str">
        <x:f>IF(OR(C15="",D15=""),"",D15-C15)</x:f>
      </x:c>
      <x:c r="N15" s="141"/>
    </x:row>
    <x:row r="16">
      <x:c r="A16" s="139"/>
      <x:c r="B16" s="117"/>
      <x:c r="C16" s="160"/>
      <x:c r="D16" s="138" t="str">
        <x:f>IF(OR(A16="",B16=""),"",SUMIFS('Human Time Log'!$H$4:$H$503,'Human Time Log'!$A$4:$A$503,A16,'Human Time Log'!$B$4:$B$503,B16))</x:f>
      </x:c>
      <x:c r="E16" s="138" t="str">
        <x:f>IF(OR($A16="",$B16=""),"",SUMIFS('Human Time Log'!$H$4:$H$503,'Human Time Log'!$A$4:$A$503,$A16,'Human Time Log'!$B$4:$B$503,$B16,'Human Time Log'!$D$4:$D$503,"Analysis &amp; Prompting"))</x:f>
      </x:c>
      <x:c r="F16" s="138" t="str">
        <x:f>IF(OR($A16="",$B16=""),"",SUMIFS('Human Time Log'!$H$4:$H$503,'Human Time Log'!$A$4:$A$503,$A16,'Human Time Log'!$B$4:$B$503,$B16,'Human Time Log'!$D$4:$D$503,"Agent Supervision"))</x:f>
      </x:c>
      <x:c r="G16" s="138" t="str">
        <x:f>IF(OR($A16="",$B16=""),"",SUMIFS('Human Time Log'!$H$4:$H$503,'Human Time Log'!$A$4:$A$503,$A16,'Human Time Log'!$B$4:$B$503,$B16,'Human Time Log'!$D$4:$D$503,"Human Review"))</x:f>
      </x:c>
      <x:c r="H16" s="138" t="str">
        <x:f>IF(OR($A16="",$B16=""),"",SUMIFS('Human Time Log'!$H$4:$H$503,'Human Time Log'!$A$4:$A$503,$A16,'Human Time Log'!$B$4:$B$503,$B16,'Human Time Log'!$D$4:$D$503,"Testing / Acceptance"))</x:f>
      </x:c>
      <x:c r="I16" s="138" t="str">
        <x:f>IF(OR($A16="",$B16=""),"",SUMIFS('Human Time Log'!$H$4:$H$503,'Human Time Log'!$A$4:$A$503,$A16,'Human Time Log'!$B$4:$B$503,$B16,'Human Time Log'!$D$4:$D$503,"Fix / Rework"))</x:f>
      </x:c>
      <x:c r="J16" s="138" t="str">
        <x:f>IF(OR($A16="",$B16=""),"",SUMIFS('Human Time Log'!$H$4:$H$503,'Human Time Log'!$A$4:$A$503,$A16,'Human Time Log'!$B$4:$B$503,$B16,'Human Time Log'!$D$4:$D$503,"Integration / Deployment"))</x:f>
      </x:c>
      <x:c r="K16" s="138" t="str">
        <x:f>IF(OR($A16="",$B16=""),"",SUMIFS('Human Time Log'!$H$4:$H$503,'Human Time Log'!$A$4:$A$503,$A16,'Human Time Log'!$B$4:$B$503,$B16,'Human Time Log'!$D$4:$D$503,"PM / Documentation"))</x:f>
      </x:c>
      <x:c r="L16" s="138" t="str">
        <x:f>IF(OR($A16="",$B16=""),"",SUMIFS('Human Time Log'!$H$4:$H$503,'Human Time Log'!$A$4:$A$503,$A16,'Human Time Log'!$B$4:$B$503,$B16,'Human Time Log'!$D$4:$D$503,"Meeting")+SUMIFS('Human Time Log'!$H$4:$H$503,'Human Time Log'!$A$4:$A$503,$A16,'Human Time Log'!$B$4:$B$503,$B16,'Human Time Log'!$D$4:$D$503,"Other"))</x:f>
      </x:c>
      <x:c r="M16" s="138" t="str">
        <x:f>IF(OR(C16="",D16=""),"",D16-C16)</x:f>
      </x:c>
      <x:c r="N16" s="141"/>
    </x:row>
    <x:row r="17">
      <x:c r="A17" s="139"/>
      <x:c r="B17" s="117"/>
      <x:c r="C17" s="160"/>
      <x:c r="D17" s="138" t="str">
        <x:f>IF(OR(A17="",B17=""),"",SUMIFS('Human Time Log'!$H$4:$H$503,'Human Time Log'!$A$4:$A$503,A17,'Human Time Log'!$B$4:$B$503,B17))</x:f>
      </x:c>
      <x:c r="E17" s="138" t="str">
        <x:f>IF(OR($A17="",$B17=""),"",SUMIFS('Human Time Log'!$H$4:$H$503,'Human Time Log'!$A$4:$A$503,$A17,'Human Time Log'!$B$4:$B$503,$B17,'Human Time Log'!$D$4:$D$503,"Analysis &amp; Prompting"))</x:f>
      </x:c>
      <x:c r="F17" s="138" t="str">
        <x:f>IF(OR($A17="",$B17=""),"",SUMIFS('Human Time Log'!$H$4:$H$503,'Human Time Log'!$A$4:$A$503,$A17,'Human Time Log'!$B$4:$B$503,$B17,'Human Time Log'!$D$4:$D$503,"Agent Supervision"))</x:f>
      </x:c>
      <x:c r="G17" s="138" t="str">
        <x:f>IF(OR($A17="",$B17=""),"",SUMIFS('Human Time Log'!$H$4:$H$503,'Human Time Log'!$A$4:$A$503,$A17,'Human Time Log'!$B$4:$B$503,$B17,'Human Time Log'!$D$4:$D$503,"Human Review"))</x:f>
      </x:c>
      <x:c r="H17" s="138" t="str">
        <x:f>IF(OR($A17="",$B17=""),"",SUMIFS('Human Time Log'!$H$4:$H$503,'Human Time Log'!$A$4:$A$503,$A17,'Human Time Log'!$B$4:$B$503,$B17,'Human Time Log'!$D$4:$D$503,"Testing / Acceptance"))</x:f>
      </x:c>
      <x:c r="I17" s="138" t="str">
        <x:f>IF(OR($A17="",$B17=""),"",SUMIFS('Human Time Log'!$H$4:$H$503,'Human Time Log'!$A$4:$A$503,$A17,'Human Time Log'!$B$4:$B$503,$B17,'Human Time Log'!$D$4:$D$503,"Fix / Rework"))</x:f>
      </x:c>
      <x:c r="J17" s="138" t="str">
        <x:f>IF(OR($A17="",$B17=""),"",SUMIFS('Human Time Log'!$H$4:$H$503,'Human Time Log'!$A$4:$A$503,$A17,'Human Time Log'!$B$4:$B$503,$B17,'Human Time Log'!$D$4:$D$503,"Integration / Deployment"))</x:f>
      </x:c>
      <x:c r="K17" s="138" t="str">
        <x:f>IF(OR($A17="",$B17=""),"",SUMIFS('Human Time Log'!$H$4:$H$503,'Human Time Log'!$A$4:$A$503,$A17,'Human Time Log'!$B$4:$B$503,$B17,'Human Time Log'!$D$4:$D$503,"PM / Documentation"))</x:f>
      </x:c>
      <x:c r="L17" s="138" t="str">
        <x:f>IF(OR($A17="",$B17=""),"",SUMIFS('Human Time Log'!$H$4:$H$503,'Human Time Log'!$A$4:$A$503,$A17,'Human Time Log'!$B$4:$B$503,$B17,'Human Time Log'!$D$4:$D$503,"Meeting")+SUMIFS('Human Time Log'!$H$4:$H$503,'Human Time Log'!$A$4:$A$503,$A17,'Human Time Log'!$B$4:$B$503,$B17,'Human Time Log'!$D$4:$D$503,"Other"))</x:f>
      </x:c>
      <x:c r="M17" s="138" t="str">
        <x:f>IF(OR(C17="",D17=""),"",D17-C17)</x:f>
      </x:c>
      <x:c r="N17" s="141"/>
    </x:row>
    <x:row r="18">
      <x:c r="A18" s="139"/>
      <x:c r="B18" s="117"/>
      <x:c r="C18" s="160"/>
      <x:c r="D18" s="138" t="str">
        <x:f>IF(OR(A18="",B18=""),"",SUMIFS('Human Time Log'!$H$4:$H$503,'Human Time Log'!$A$4:$A$503,A18,'Human Time Log'!$B$4:$B$503,B18))</x:f>
      </x:c>
      <x:c r="E18" s="138" t="str">
        <x:f>IF(OR($A18="",$B18=""),"",SUMIFS('Human Time Log'!$H$4:$H$503,'Human Time Log'!$A$4:$A$503,$A18,'Human Time Log'!$B$4:$B$503,$B18,'Human Time Log'!$D$4:$D$503,"Analysis &amp; Prompting"))</x:f>
      </x:c>
      <x:c r="F18" s="138" t="str">
        <x:f>IF(OR($A18="",$B18=""),"",SUMIFS('Human Time Log'!$H$4:$H$503,'Human Time Log'!$A$4:$A$503,$A18,'Human Time Log'!$B$4:$B$503,$B18,'Human Time Log'!$D$4:$D$503,"Agent Supervision"))</x:f>
      </x:c>
      <x:c r="G18" s="138" t="str">
        <x:f>IF(OR($A18="",$B18=""),"",SUMIFS('Human Time Log'!$H$4:$H$503,'Human Time Log'!$A$4:$A$503,$A18,'Human Time Log'!$B$4:$B$503,$B18,'Human Time Log'!$D$4:$D$503,"Human Review"))</x:f>
      </x:c>
      <x:c r="H18" s="138" t="str">
        <x:f>IF(OR($A18="",$B18=""),"",SUMIFS('Human Time Log'!$H$4:$H$503,'Human Time Log'!$A$4:$A$503,$A18,'Human Time Log'!$B$4:$B$503,$B18,'Human Time Log'!$D$4:$D$503,"Testing / Acceptance"))</x:f>
      </x:c>
      <x:c r="I18" s="138" t="str">
        <x:f>IF(OR($A18="",$B18=""),"",SUMIFS('Human Time Log'!$H$4:$H$503,'Human Time Log'!$A$4:$A$503,$A18,'Human Time Log'!$B$4:$B$503,$B18,'Human Time Log'!$D$4:$D$503,"Fix / Rework"))</x:f>
      </x:c>
      <x:c r="J18" s="138" t="str">
        <x:f>IF(OR($A18="",$B18=""),"",SUMIFS('Human Time Log'!$H$4:$H$503,'Human Time Log'!$A$4:$A$503,$A18,'Human Time Log'!$B$4:$B$503,$B18,'Human Time Log'!$D$4:$D$503,"Integration / Deployment"))</x:f>
      </x:c>
      <x:c r="K18" s="138" t="str">
        <x:f>IF(OR($A18="",$B18=""),"",SUMIFS('Human Time Log'!$H$4:$H$503,'Human Time Log'!$A$4:$A$503,$A18,'Human Time Log'!$B$4:$B$503,$B18,'Human Time Log'!$D$4:$D$503,"PM / Documentation"))</x:f>
      </x:c>
      <x:c r="L18" s="138" t="str">
        <x:f>IF(OR($A18="",$B18=""),"",SUMIFS('Human Time Log'!$H$4:$H$503,'Human Time Log'!$A$4:$A$503,$A18,'Human Time Log'!$B$4:$B$503,$B18,'Human Time Log'!$D$4:$D$503,"Meeting")+SUMIFS('Human Time Log'!$H$4:$H$503,'Human Time Log'!$A$4:$A$503,$A18,'Human Time Log'!$B$4:$B$503,$B18,'Human Time Log'!$D$4:$D$503,"Other"))</x:f>
      </x:c>
      <x:c r="M18" s="138" t="str">
        <x:f>IF(OR(C18="",D18=""),"",D18-C18)</x:f>
      </x:c>
      <x:c r="N18" s="141"/>
    </x:row>
    <x:row r="19">
      <x:c r="A19" s="139"/>
      <x:c r="B19" s="117"/>
      <x:c r="C19" s="160"/>
      <x:c r="D19" s="138" t="str">
        <x:f>IF(OR(A19="",B19=""),"",SUMIFS('Human Time Log'!$H$4:$H$503,'Human Time Log'!$A$4:$A$503,A19,'Human Time Log'!$B$4:$B$503,B19))</x:f>
      </x:c>
      <x:c r="E19" s="138" t="str">
        <x:f>IF(OR($A19="",$B19=""),"",SUMIFS('Human Time Log'!$H$4:$H$503,'Human Time Log'!$A$4:$A$503,$A19,'Human Time Log'!$B$4:$B$503,$B19,'Human Time Log'!$D$4:$D$503,"Analysis &amp; Prompting"))</x:f>
      </x:c>
      <x:c r="F19" s="138" t="str">
        <x:f>IF(OR($A19="",$B19=""),"",SUMIFS('Human Time Log'!$H$4:$H$503,'Human Time Log'!$A$4:$A$503,$A19,'Human Time Log'!$B$4:$B$503,$B19,'Human Time Log'!$D$4:$D$503,"Agent Supervision"))</x:f>
      </x:c>
      <x:c r="G19" s="138" t="str">
        <x:f>IF(OR($A19="",$B19=""),"",SUMIFS('Human Time Log'!$H$4:$H$503,'Human Time Log'!$A$4:$A$503,$A19,'Human Time Log'!$B$4:$B$503,$B19,'Human Time Log'!$D$4:$D$503,"Human Review"))</x:f>
      </x:c>
      <x:c r="H19" s="138" t="str">
        <x:f>IF(OR($A19="",$B19=""),"",SUMIFS('Human Time Log'!$H$4:$H$503,'Human Time Log'!$A$4:$A$503,$A19,'Human Time Log'!$B$4:$B$503,$B19,'Human Time Log'!$D$4:$D$503,"Testing / Acceptance"))</x:f>
      </x:c>
      <x:c r="I19" s="138" t="str">
        <x:f>IF(OR($A19="",$B19=""),"",SUMIFS('Human Time Log'!$H$4:$H$503,'Human Time Log'!$A$4:$A$503,$A19,'Human Time Log'!$B$4:$B$503,$B19,'Human Time Log'!$D$4:$D$503,"Fix / Rework"))</x:f>
      </x:c>
      <x:c r="J19" s="138" t="str">
        <x:f>IF(OR($A19="",$B19=""),"",SUMIFS('Human Time Log'!$H$4:$H$503,'Human Time Log'!$A$4:$A$503,$A19,'Human Time Log'!$B$4:$B$503,$B19,'Human Time Log'!$D$4:$D$503,"Integration / Deployment"))</x:f>
      </x:c>
      <x:c r="K19" s="138" t="str">
        <x:f>IF(OR($A19="",$B19=""),"",SUMIFS('Human Time Log'!$H$4:$H$503,'Human Time Log'!$A$4:$A$503,$A19,'Human Time Log'!$B$4:$B$503,$B19,'Human Time Log'!$D$4:$D$503,"PM / Documentation"))</x:f>
      </x:c>
      <x:c r="L19" s="138" t="str">
        <x:f>IF(OR($A19="",$B19=""),"",SUMIFS('Human Time Log'!$H$4:$H$503,'Human Time Log'!$A$4:$A$503,$A19,'Human Time Log'!$B$4:$B$503,$B19,'Human Time Log'!$D$4:$D$503,"Meeting")+SUMIFS('Human Time Log'!$H$4:$H$503,'Human Time Log'!$A$4:$A$503,$A19,'Human Time Log'!$B$4:$B$503,$B19,'Human Time Log'!$D$4:$D$503,"Other"))</x:f>
      </x:c>
      <x:c r="M19" s="138" t="str">
        <x:f>IF(OR(C19="",D19=""),"",D19-C19)</x:f>
      </x:c>
      <x:c r="N19" s="141"/>
    </x:row>
    <x:row r="20">
      <x:c r="A20" s="139"/>
      <x:c r="B20" s="117"/>
      <x:c r="C20" s="160"/>
      <x:c r="D20" s="138" t="str">
        <x:f>IF(OR(A20="",B20=""),"",SUMIFS('Human Time Log'!$H$4:$H$503,'Human Time Log'!$A$4:$A$503,A20,'Human Time Log'!$B$4:$B$503,B20))</x:f>
      </x:c>
      <x:c r="E20" s="138" t="str">
        <x:f>IF(OR($A20="",$B20=""),"",SUMIFS('Human Time Log'!$H$4:$H$503,'Human Time Log'!$A$4:$A$503,$A20,'Human Time Log'!$B$4:$B$503,$B20,'Human Time Log'!$D$4:$D$503,"Analysis &amp; Prompting"))</x:f>
      </x:c>
      <x:c r="F20" s="138" t="str">
        <x:f>IF(OR($A20="",$B20=""),"",SUMIFS('Human Time Log'!$H$4:$H$503,'Human Time Log'!$A$4:$A$503,$A20,'Human Time Log'!$B$4:$B$503,$B20,'Human Time Log'!$D$4:$D$503,"Agent Supervision"))</x:f>
      </x:c>
      <x:c r="G20" s="138" t="str">
        <x:f>IF(OR($A20="",$B20=""),"",SUMIFS('Human Time Log'!$H$4:$H$503,'Human Time Log'!$A$4:$A$503,$A20,'Human Time Log'!$B$4:$B$503,$B20,'Human Time Log'!$D$4:$D$503,"Human Review"))</x:f>
      </x:c>
      <x:c r="H20" s="138" t="str">
        <x:f>IF(OR($A20="",$B20=""),"",SUMIFS('Human Time Log'!$H$4:$H$503,'Human Time Log'!$A$4:$A$503,$A20,'Human Time Log'!$B$4:$B$503,$B20,'Human Time Log'!$D$4:$D$503,"Testing / Acceptance"))</x:f>
      </x:c>
      <x:c r="I20" s="138" t="str">
        <x:f>IF(OR($A20="",$B20=""),"",SUMIFS('Human Time Log'!$H$4:$H$503,'Human Time Log'!$A$4:$A$503,$A20,'Human Time Log'!$B$4:$B$503,$B20,'Human Time Log'!$D$4:$D$503,"Fix / Rework"))</x:f>
      </x:c>
      <x:c r="J20" s="138" t="str">
        <x:f>IF(OR($A20="",$B20=""),"",SUMIFS('Human Time Log'!$H$4:$H$503,'Human Time Log'!$A$4:$A$503,$A20,'Human Time Log'!$B$4:$B$503,$B20,'Human Time Log'!$D$4:$D$503,"Integration / Deployment"))</x:f>
      </x:c>
      <x:c r="K20" s="138" t="str">
        <x:f>IF(OR($A20="",$B20=""),"",SUMIFS('Human Time Log'!$H$4:$H$503,'Human Time Log'!$A$4:$A$503,$A20,'Human Time Log'!$B$4:$B$503,$B20,'Human Time Log'!$D$4:$D$503,"PM / Documentation"))</x:f>
      </x:c>
      <x:c r="L20" s="138" t="str">
        <x:f>IF(OR($A20="",$B20=""),"",SUMIFS('Human Time Log'!$H$4:$H$503,'Human Time Log'!$A$4:$A$503,$A20,'Human Time Log'!$B$4:$B$503,$B20,'Human Time Log'!$D$4:$D$503,"Meeting")+SUMIFS('Human Time Log'!$H$4:$H$503,'Human Time Log'!$A$4:$A$503,$A20,'Human Time Log'!$B$4:$B$503,$B20,'Human Time Log'!$D$4:$D$503,"Other"))</x:f>
      </x:c>
      <x:c r="M20" s="138" t="str">
        <x:f>IF(OR(C20="",D20=""),"",D20-C20)</x:f>
      </x:c>
      <x:c r="N20" s="141"/>
    </x:row>
    <x:row r="21">
      <x:c r="A21" s="139"/>
      <x:c r="B21" s="117"/>
      <x:c r="C21" s="160"/>
      <x:c r="D21" s="138" t="str">
        <x:f>IF(OR(A21="",B21=""),"",SUMIFS('Human Time Log'!$H$4:$H$503,'Human Time Log'!$A$4:$A$503,A21,'Human Time Log'!$B$4:$B$503,B21))</x:f>
      </x:c>
      <x:c r="E21" s="138" t="str">
        <x:f>IF(OR($A21="",$B21=""),"",SUMIFS('Human Time Log'!$H$4:$H$503,'Human Time Log'!$A$4:$A$503,$A21,'Human Time Log'!$B$4:$B$503,$B21,'Human Time Log'!$D$4:$D$503,"Analysis &amp; Prompting"))</x:f>
      </x:c>
      <x:c r="F21" s="138" t="str">
        <x:f>IF(OR($A21="",$B21=""),"",SUMIFS('Human Time Log'!$H$4:$H$503,'Human Time Log'!$A$4:$A$503,$A21,'Human Time Log'!$B$4:$B$503,$B21,'Human Time Log'!$D$4:$D$503,"Agent Supervision"))</x:f>
      </x:c>
      <x:c r="G21" s="138" t="str">
        <x:f>IF(OR($A21="",$B21=""),"",SUMIFS('Human Time Log'!$H$4:$H$503,'Human Time Log'!$A$4:$A$503,$A21,'Human Time Log'!$B$4:$B$503,$B21,'Human Time Log'!$D$4:$D$503,"Human Review"))</x:f>
      </x:c>
      <x:c r="H21" s="138" t="str">
        <x:f>IF(OR($A21="",$B21=""),"",SUMIFS('Human Time Log'!$H$4:$H$503,'Human Time Log'!$A$4:$A$503,$A21,'Human Time Log'!$B$4:$B$503,$B21,'Human Time Log'!$D$4:$D$503,"Testing / Acceptance"))</x:f>
      </x:c>
      <x:c r="I21" s="138" t="str">
        <x:f>IF(OR($A21="",$B21=""),"",SUMIFS('Human Time Log'!$H$4:$H$503,'Human Time Log'!$A$4:$A$503,$A21,'Human Time Log'!$B$4:$B$503,$B21,'Human Time Log'!$D$4:$D$503,"Fix / Rework"))</x:f>
      </x:c>
      <x:c r="J21" s="138" t="str">
        <x:f>IF(OR($A21="",$B21=""),"",SUMIFS('Human Time Log'!$H$4:$H$503,'Human Time Log'!$A$4:$A$503,$A21,'Human Time Log'!$B$4:$B$503,$B21,'Human Time Log'!$D$4:$D$503,"Integration / Deployment"))</x:f>
      </x:c>
      <x:c r="K21" s="138" t="str">
        <x:f>IF(OR($A21="",$B21=""),"",SUMIFS('Human Time Log'!$H$4:$H$503,'Human Time Log'!$A$4:$A$503,$A21,'Human Time Log'!$B$4:$B$503,$B21,'Human Time Log'!$D$4:$D$503,"PM / Documentation"))</x:f>
      </x:c>
      <x:c r="L21" s="138" t="str">
        <x:f>IF(OR($A21="",$B21=""),"",SUMIFS('Human Time Log'!$H$4:$H$503,'Human Time Log'!$A$4:$A$503,$A21,'Human Time Log'!$B$4:$B$503,$B21,'Human Time Log'!$D$4:$D$503,"Meeting")+SUMIFS('Human Time Log'!$H$4:$H$503,'Human Time Log'!$A$4:$A$503,$A21,'Human Time Log'!$B$4:$B$503,$B21,'Human Time Log'!$D$4:$D$503,"Other"))</x:f>
      </x:c>
      <x:c r="M21" s="138" t="str">
        <x:f>IF(OR(C21="",D21=""),"",D21-C21)</x:f>
      </x:c>
      <x:c r="N21" s="141"/>
    </x:row>
    <x:row r="22">
      <x:c r="A22" s="139"/>
      <x:c r="B22" s="117"/>
      <x:c r="C22" s="160"/>
      <x:c r="D22" s="138" t="str">
        <x:f>IF(OR(A22="",B22=""),"",SUMIFS('Human Time Log'!$H$4:$H$503,'Human Time Log'!$A$4:$A$503,A22,'Human Time Log'!$B$4:$B$503,B22))</x:f>
      </x:c>
      <x:c r="E22" s="138" t="str">
        <x:f>IF(OR($A22="",$B22=""),"",SUMIFS('Human Time Log'!$H$4:$H$503,'Human Time Log'!$A$4:$A$503,$A22,'Human Time Log'!$B$4:$B$503,$B22,'Human Time Log'!$D$4:$D$503,"Analysis &amp; Prompting"))</x:f>
      </x:c>
      <x:c r="F22" s="138" t="str">
        <x:f>IF(OR($A22="",$B22=""),"",SUMIFS('Human Time Log'!$H$4:$H$503,'Human Time Log'!$A$4:$A$503,$A22,'Human Time Log'!$B$4:$B$503,$B22,'Human Time Log'!$D$4:$D$503,"Agent Supervision"))</x:f>
      </x:c>
      <x:c r="G22" s="138" t="str">
        <x:f>IF(OR($A22="",$B22=""),"",SUMIFS('Human Time Log'!$H$4:$H$503,'Human Time Log'!$A$4:$A$503,$A22,'Human Time Log'!$B$4:$B$503,$B22,'Human Time Log'!$D$4:$D$503,"Human Review"))</x:f>
      </x:c>
      <x:c r="H22" s="138" t="str">
        <x:f>IF(OR($A22="",$B22=""),"",SUMIFS('Human Time Log'!$H$4:$H$503,'Human Time Log'!$A$4:$A$503,$A22,'Human Time Log'!$B$4:$B$503,$B22,'Human Time Log'!$D$4:$D$503,"Testing / Acceptance"))</x:f>
      </x:c>
      <x:c r="I22" s="138" t="str">
        <x:f>IF(OR($A22="",$B22=""),"",SUMIFS('Human Time Log'!$H$4:$H$503,'Human Time Log'!$A$4:$A$503,$A22,'Human Time Log'!$B$4:$B$503,$B22,'Human Time Log'!$D$4:$D$503,"Fix / Rework"))</x:f>
      </x:c>
      <x:c r="J22" s="138" t="str">
        <x:f>IF(OR($A22="",$B22=""),"",SUMIFS('Human Time Log'!$H$4:$H$503,'Human Time Log'!$A$4:$A$503,$A22,'Human Time Log'!$B$4:$B$503,$B22,'Human Time Log'!$D$4:$D$503,"Integration / Deployment"))</x:f>
      </x:c>
      <x:c r="K22" s="138" t="str">
        <x:f>IF(OR($A22="",$B22=""),"",SUMIFS('Human Time Log'!$H$4:$H$503,'Human Time Log'!$A$4:$A$503,$A22,'Human Time Log'!$B$4:$B$503,$B22,'Human Time Log'!$D$4:$D$503,"PM / Documentation"))</x:f>
      </x:c>
      <x:c r="L22" s="138" t="str">
        <x:f>IF(OR($A22="",$B22=""),"",SUMIFS('Human Time Log'!$H$4:$H$503,'Human Time Log'!$A$4:$A$503,$A22,'Human Time Log'!$B$4:$B$503,$B22,'Human Time Log'!$D$4:$D$503,"Meeting")+SUMIFS('Human Time Log'!$H$4:$H$503,'Human Time Log'!$A$4:$A$503,$A22,'Human Time Log'!$B$4:$B$503,$B22,'Human Time Log'!$D$4:$D$503,"Other"))</x:f>
      </x:c>
      <x:c r="M22" s="138" t="str">
        <x:f>IF(OR(C22="",D22=""),"",D22-C22)</x:f>
      </x:c>
      <x:c r="N22" s="141"/>
    </x:row>
    <x:row r="23">
      <x:c r="A23" s="139"/>
      <x:c r="B23" s="117"/>
      <x:c r="C23" s="160"/>
      <x:c r="D23" s="138" t="str">
        <x:f>IF(OR(A23="",B23=""),"",SUMIFS('Human Time Log'!$H$4:$H$503,'Human Time Log'!$A$4:$A$503,A23,'Human Time Log'!$B$4:$B$503,B23))</x:f>
      </x:c>
      <x:c r="E23" s="138" t="str">
        <x:f>IF(OR($A23="",$B23=""),"",SUMIFS('Human Time Log'!$H$4:$H$503,'Human Time Log'!$A$4:$A$503,$A23,'Human Time Log'!$B$4:$B$503,$B23,'Human Time Log'!$D$4:$D$503,"Analysis &amp; Prompting"))</x:f>
      </x:c>
      <x:c r="F23" s="138" t="str">
        <x:f>IF(OR($A23="",$B23=""),"",SUMIFS('Human Time Log'!$H$4:$H$503,'Human Time Log'!$A$4:$A$503,$A23,'Human Time Log'!$B$4:$B$503,$B23,'Human Time Log'!$D$4:$D$503,"Agent Supervision"))</x:f>
      </x:c>
      <x:c r="G23" s="138" t="str">
        <x:f>IF(OR($A23="",$B23=""),"",SUMIFS('Human Time Log'!$H$4:$H$503,'Human Time Log'!$A$4:$A$503,$A23,'Human Time Log'!$B$4:$B$503,$B23,'Human Time Log'!$D$4:$D$503,"Human Review"))</x:f>
      </x:c>
      <x:c r="H23" s="138" t="str">
        <x:f>IF(OR($A23="",$B23=""),"",SUMIFS('Human Time Log'!$H$4:$H$503,'Human Time Log'!$A$4:$A$503,$A23,'Human Time Log'!$B$4:$B$503,$B23,'Human Time Log'!$D$4:$D$503,"Testing / Acceptance"))</x:f>
      </x:c>
      <x:c r="I23" s="138" t="str">
        <x:f>IF(OR($A23="",$B23=""),"",SUMIFS('Human Time Log'!$H$4:$H$503,'Human Time Log'!$A$4:$A$503,$A23,'Human Time Log'!$B$4:$B$503,$B23,'Human Time Log'!$D$4:$D$503,"Fix / Rework"))</x:f>
      </x:c>
      <x:c r="J23" s="138" t="str">
        <x:f>IF(OR($A23="",$B23=""),"",SUMIFS('Human Time Log'!$H$4:$H$503,'Human Time Log'!$A$4:$A$503,$A23,'Human Time Log'!$B$4:$B$503,$B23,'Human Time Log'!$D$4:$D$503,"Integration / Deployment"))</x:f>
      </x:c>
      <x:c r="K23" s="138" t="str">
        <x:f>IF(OR($A23="",$B23=""),"",SUMIFS('Human Time Log'!$H$4:$H$503,'Human Time Log'!$A$4:$A$503,$A23,'Human Time Log'!$B$4:$B$503,$B23,'Human Time Log'!$D$4:$D$503,"PM / Documentation"))</x:f>
      </x:c>
      <x:c r="L23" s="138" t="str">
        <x:f>IF(OR($A23="",$B23=""),"",SUMIFS('Human Time Log'!$H$4:$H$503,'Human Time Log'!$A$4:$A$503,$A23,'Human Time Log'!$B$4:$B$503,$B23,'Human Time Log'!$D$4:$D$503,"Meeting")+SUMIFS('Human Time Log'!$H$4:$H$503,'Human Time Log'!$A$4:$A$503,$A23,'Human Time Log'!$B$4:$B$503,$B23,'Human Time Log'!$D$4:$D$503,"Other"))</x:f>
      </x:c>
      <x:c r="M23" s="138" t="str">
        <x:f>IF(OR(C23="",D23=""),"",D23-C23)</x:f>
      </x:c>
      <x:c r="N23" s="141"/>
    </x:row>
    <x:row r="24">
      <x:c r="A24" s="139"/>
      <x:c r="B24" s="117"/>
      <x:c r="C24" s="160"/>
      <x:c r="D24" s="138" t="str">
        <x:f>IF(OR(A24="",B24=""),"",SUMIFS('Human Time Log'!$H$4:$H$503,'Human Time Log'!$A$4:$A$503,A24,'Human Time Log'!$B$4:$B$503,B24))</x:f>
      </x:c>
      <x:c r="E24" s="138" t="str">
        <x:f>IF(OR($A24="",$B24=""),"",SUMIFS('Human Time Log'!$H$4:$H$503,'Human Time Log'!$A$4:$A$503,$A24,'Human Time Log'!$B$4:$B$503,$B24,'Human Time Log'!$D$4:$D$503,"Analysis &amp; Prompting"))</x:f>
      </x:c>
      <x:c r="F24" s="138" t="str">
        <x:f>IF(OR($A24="",$B24=""),"",SUMIFS('Human Time Log'!$H$4:$H$503,'Human Time Log'!$A$4:$A$503,$A24,'Human Time Log'!$B$4:$B$503,$B24,'Human Time Log'!$D$4:$D$503,"Agent Supervision"))</x:f>
      </x:c>
      <x:c r="G24" s="138" t="str">
        <x:f>IF(OR($A24="",$B24=""),"",SUMIFS('Human Time Log'!$H$4:$H$503,'Human Time Log'!$A$4:$A$503,$A24,'Human Time Log'!$B$4:$B$503,$B24,'Human Time Log'!$D$4:$D$503,"Human Review"))</x:f>
      </x:c>
      <x:c r="H24" s="138" t="str">
        <x:f>IF(OR($A24="",$B24=""),"",SUMIFS('Human Time Log'!$H$4:$H$503,'Human Time Log'!$A$4:$A$503,$A24,'Human Time Log'!$B$4:$B$503,$B24,'Human Time Log'!$D$4:$D$503,"Testing / Acceptance"))</x:f>
      </x:c>
      <x:c r="I24" s="138" t="str">
        <x:f>IF(OR($A24="",$B24=""),"",SUMIFS('Human Time Log'!$H$4:$H$503,'Human Time Log'!$A$4:$A$503,$A24,'Human Time Log'!$B$4:$B$503,$B24,'Human Time Log'!$D$4:$D$503,"Fix / Rework"))</x:f>
      </x:c>
      <x:c r="J24" s="138" t="str">
        <x:f>IF(OR($A24="",$B24=""),"",SUMIFS('Human Time Log'!$H$4:$H$503,'Human Time Log'!$A$4:$A$503,$A24,'Human Time Log'!$B$4:$B$503,$B24,'Human Time Log'!$D$4:$D$503,"Integration / Deployment"))</x:f>
      </x:c>
      <x:c r="K24" s="138" t="str">
        <x:f>IF(OR($A24="",$B24=""),"",SUMIFS('Human Time Log'!$H$4:$H$503,'Human Time Log'!$A$4:$A$503,$A24,'Human Time Log'!$B$4:$B$503,$B24,'Human Time Log'!$D$4:$D$503,"PM / Documentation"))</x:f>
      </x:c>
      <x:c r="L24" s="138" t="str">
        <x:f>IF(OR($A24="",$B24=""),"",SUMIFS('Human Time Log'!$H$4:$H$503,'Human Time Log'!$A$4:$A$503,$A24,'Human Time Log'!$B$4:$B$503,$B24,'Human Time Log'!$D$4:$D$503,"Meeting")+SUMIFS('Human Time Log'!$H$4:$H$503,'Human Time Log'!$A$4:$A$503,$A24,'Human Time Log'!$B$4:$B$503,$B24,'Human Time Log'!$D$4:$D$503,"Other"))</x:f>
      </x:c>
      <x:c r="M24" s="138" t="str">
        <x:f>IF(OR(C24="",D24=""),"",D24-C24)</x:f>
      </x:c>
      <x:c r="N24" s="141"/>
    </x:row>
    <x:row r="25">
      <x:c r="A25" s="139"/>
      <x:c r="B25" s="117"/>
      <x:c r="C25" s="160"/>
      <x:c r="D25" s="138" t="str">
        <x:f>IF(OR(A25="",B25=""),"",SUMIFS('Human Time Log'!$H$4:$H$503,'Human Time Log'!$A$4:$A$503,A25,'Human Time Log'!$B$4:$B$503,B25))</x:f>
      </x:c>
      <x:c r="E25" s="138" t="str">
        <x:f>IF(OR($A25="",$B25=""),"",SUMIFS('Human Time Log'!$H$4:$H$503,'Human Time Log'!$A$4:$A$503,$A25,'Human Time Log'!$B$4:$B$503,$B25,'Human Time Log'!$D$4:$D$503,"Analysis &amp; Prompting"))</x:f>
      </x:c>
      <x:c r="F25" s="138" t="str">
        <x:f>IF(OR($A25="",$B25=""),"",SUMIFS('Human Time Log'!$H$4:$H$503,'Human Time Log'!$A$4:$A$503,$A25,'Human Time Log'!$B$4:$B$503,$B25,'Human Time Log'!$D$4:$D$503,"Agent Supervision"))</x:f>
      </x:c>
      <x:c r="G25" s="138" t="str">
        <x:f>IF(OR($A25="",$B25=""),"",SUMIFS('Human Time Log'!$H$4:$H$503,'Human Time Log'!$A$4:$A$503,$A25,'Human Time Log'!$B$4:$B$503,$B25,'Human Time Log'!$D$4:$D$503,"Human Review"))</x:f>
      </x:c>
      <x:c r="H25" s="138" t="str">
        <x:f>IF(OR($A25="",$B25=""),"",SUMIFS('Human Time Log'!$H$4:$H$503,'Human Time Log'!$A$4:$A$503,$A25,'Human Time Log'!$B$4:$B$503,$B25,'Human Time Log'!$D$4:$D$503,"Testing / Acceptance"))</x:f>
      </x:c>
      <x:c r="I25" s="138" t="str">
        <x:f>IF(OR($A25="",$B25=""),"",SUMIFS('Human Time Log'!$H$4:$H$503,'Human Time Log'!$A$4:$A$503,$A25,'Human Time Log'!$B$4:$B$503,$B25,'Human Time Log'!$D$4:$D$503,"Fix / Rework"))</x:f>
      </x:c>
      <x:c r="J25" s="138" t="str">
        <x:f>IF(OR($A25="",$B25=""),"",SUMIFS('Human Time Log'!$H$4:$H$503,'Human Time Log'!$A$4:$A$503,$A25,'Human Time Log'!$B$4:$B$503,$B25,'Human Time Log'!$D$4:$D$503,"Integration / Deployment"))</x:f>
      </x:c>
      <x:c r="K25" s="138" t="str">
        <x:f>IF(OR($A25="",$B25=""),"",SUMIFS('Human Time Log'!$H$4:$H$503,'Human Time Log'!$A$4:$A$503,$A25,'Human Time Log'!$B$4:$B$503,$B25,'Human Time Log'!$D$4:$D$503,"PM / Documentation"))</x:f>
      </x:c>
      <x:c r="L25" s="138" t="str">
        <x:f>IF(OR($A25="",$B25=""),"",SUMIFS('Human Time Log'!$H$4:$H$503,'Human Time Log'!$A$4:$A$503,$A25,'Human Time Log'!$B$4:$B$503,$B25,'Human Time Log'!$D$4:$D$503,"Meeting")+SUMIFS('Human Time Log'!$H$4:$H$503,'Human Time Log'!$A$4:$A$503,$A25,'Human Time Log'!$B$4:$B$503,$B25,'Human Time Log'!$D$4:$D$503,"Other"))</x:f>
      </x:c>
      <x:c r="M25" s="138" t="str">
        <x:f>IF(OR(C25="",D25=""),"",D25-C25)</x:f>
      </x:c>
      <x:c r="N25" s="141"/>
    </x:row>
    <x:row r="26">
      <x:c r="A26" s="139"/>
      <x:c r="B26" s="117"/>
      <x:c r="C26" s="160"/>
      <x:c r="D26" s="138" t="str">
        <x:f>IF(OR(A26="",B26=""),"",SUMIFS('Human Time Log'!$H$4:$H$503,'Human Time Log'!$A$4:$A$503,A26,'Human Time Log'!$B$4:$B$503,B26))</x:f>
      </x:c>
      <x:c r="E26" s="138" t="str">
        <x:f>IF(OR($A26="",$B26=""),"",SUMIFS('Human Time Log'!$H$4:$H$503,'Human Time Log'!$A$4:$A$503,$A26,'Human Time Log'!$B$4:$B$503,$B26,'Human Time Log'!$D$4:$D$503,"Analysis &amp; Prompting"))</x:f>
      </x:c>
      <x:c r="F26" s="138" t="str">
        <x:f>IF(OR($A26="",$B26=""),"",SUMIFS('Human Time Log'!$H$4:$H$503,'Human Time Log'!$A$4:$A$503,$A26,'Human Time Log'!$B$4:$B$503,$B26,'Human Time Log'!$D$4:$D$503,"Agent Supervision"))</x:f>
      </x:c>
      <x:c r="G26" s="138" t="str">
        <x:f>IF(OR($A26="",$B26=""),"",SUMIFS('Human Time Log'!$H$4:$H$503,'Human Time Log'!$A$4:$A$503,$A26,'Human Time Log'!$B$4:$B$503,$B26,'Human Time Log'!$D$4:$D$503,"Human Review"))</x:f>
      </x:c>
      <x:c r="H26" s="138" t="str">
        <x:f>IF(OR($A26="",$B26=""),"",SUMIFS('Human Time Log'!$H$4:$H$503,'Human Time Log'!$A$4:$A$503,$A26,'Human Time Log'!$B$4:$B$503,$B26,'Human Time Log'!$D$4:$D$503,"Testing / Acceptance"))</x:f>
      </x:c>
      <x:c r="I26" s="138" t="str">
        <x:f>IF(OR($A26="",$B26=""),"",SUMIFS('Human Time Log'!$H$4:$H$503,'Human Time Log'!$A$4:$A$503,$A26,'Human Time Log'!$B$4:$B$503,$B26,'Human Time Log'!$D$4:$D$503,"Fix / Rework"))</x:f>
      </x:c>
      <x:c r="J26" s="138" t="str">
        <x:f>IF(OR($A26="",$B26=""),"",SUMIFS('Human Time Log'!$H$4:$H$503,'Human Time Log'!$A$4:$A$503,$A26,'Human Time Log'!$B$4:$B$503,$B26,'Human Time Log'!$D$4:$D$503,"Integration / Deployment"))</x:f>
      </x:c>
      <x:c r="K26" s="138" t="str">
        <x:f>IF(OR($A26="",$B26=""),"",SUMIFS('Human Time Log'!$H$4:$H$503,'Human Time Log'!$A$4:$A$503,$A26,'Human Time Log'!$B$4:$B$503,$B26,'Human Time Log'!$D$4:$D$503,"PM / Documentation"))</x:f>
      </x:c>
      <x:c r="L26" s="138" t="str">
        <x:f>IF(OR($A26="",$B26=""),"",SUMIFS('Human Time Log'!$H$4:$H$503,'Human Time Log'!$A$4:$A$503,$A26,'Human Time Log'!$B$4:$B$503,$B26,'Human Time Log'!$D$4:$D$503,"Meeting")+SUMIFS('Human Time Log'!$H$4:$H$503,'Human Time Log'!$A$4:$A$503,$A26,'Human Time Log'!$B$4:$B$503,$B26,'Human Time Log'!$D$4:$D$503,"Other"))</x:f>
      </x:c>
      <x:c r="M26" s="138" t="str">
        <x:f>IF(OR(C26="",D26=""),"",D26-C26)</x:f>
      </x:c>
      <x:c r="N26" s="141"/>
    </x:row>
    <x:row r="27">
      <x:c r="A27" s="139"/>
      <x:c r="B27" s="117"/>
      <x:c r="C27" s="160"/>
      <x:c r="D27" s="138" t="str">
        <x:f>IF(OR(A27="",B27=""),"",SUMIFS('Human Time Log'!$H$4:$H$503,'Human Time Log'!$A$4:$A$503,A27,'Human Time Log'!$B$4:$B$503,B27))</x:f>
      </x:c>
      <x:c r="E27" s="138" t="str">
        <x:f>IF(OR($A27="",$B27=""),"",SUMIFS('Human Time Log'!$H$4:$H$503,'Human Time Log'!$A$4:$A$503,$A27,'Human Time Log'!$B$4:$B$503,$B27,'Human Time Log'!$D$4:$D$503,"Analysis &amp; Prompting"))</x:f>
      </x:c>
      <x:c r="F27" s="138" t="str">
        <x:f>IF(OR($A27="",$B27=""),"",SUMIFS('Human Time Log'!$H$4:$H$503,'Human Time Log'!$A$4:$A$503,$A27,'Human Time Log'!$B$4:$B$503,$B27,'Human Time Log'!$D$4:$D$503,"Agent Supervision"))</x:f>
      </x:c>
      <x:c r="G27" s="138" t="str">
        <x:f>IF(OR($A27="",$B27=""),"",SUMIFS('Human Time Log'!$H$4:$H$503,'Human Time Log'!$A$4:$A$503,$A27,'Human Time Log'!$B$4:$B$503,$B27,'Human Time Log'!$D$4:$D$503,"Human Review"))</x:f>
      </x:c>
      <x:c r="H27" s="138" t="str">
        <x:f>IF(OR($A27="",$B27=""),"",SUMIFS('Human Time Log'!$H$4:$H$503,'Human Time Log'!$A$4:$A$503,$A27,'Human Time Log'!$B$4:$B$503,$B27,'Human Time Log'!$D$4:$D$503,"Testing / Acceptance"))</x:f>
      </x:c>
      <x:c r="I27" s="138" t="str">
        <x:f>IF(OR($A27="",$B27=""),"",SUMIFS('Human Time Log'!$H$4:$H$503,'Human Time Log'!$A$4:$A$503,$A27,'Human Time Log'!$B$4:$B$503,$B27,'Human Time Log'!$D$4:$D$503,"Fix / Rework"))</x:f>
      </x:c>
      <x:c r="J27" s="138" t="str">
        <x:f>IF(OR($A27="",$B27=""),"",SUMIFS('Human Time Log'!$H$4:$H$503,'Human Time Log'!$A$4:$A$503,$A27,'Human Time Log'!$B$4:$B$503,$B27,'Human Time Log'!$D$4:$D$503,"Integration / Deployment"))</x:f>
      </x:c>
      <x:c r="K27" s="138" t="str">
        <x:f>IF(OR($A27="",$B27=""),"",SUMIFS('Human Time Log'!$H$4:$H$503,'Human Time Log'!$A$4:$A$503,$A27,'Human Time Log'!$B$4:$B$503,$B27,'Human Time Log'!$D$4:$D$503,"PM / Documentation"))</x:f>
      </x:c>
      <x:c r="L27" s="138" t="str">
        <x:f>IF(OR($A27="",$B27=""),"",SUMIFS('Human Time Log'!$H$4:$H$503,'Human Time Log'!$A$4:$A$503,$A27,'Human Time Log'!$B$4:$B$503,$B27,'Human Time Log'!$D$4:$D$503,"Meeting")+SUMIFS('Human Time Log'!$H$4:$H$503,'Human Time Log'!$A$4:$A$503,$A27,'Human Time Log'!$B$4:$B$503,$B27,'Human Time Log'!$D$4:$D$503,"Other"))</x:f>
      </x:c>
      <x:c r="M27" s="138" t="str">
        <x:f>IF(OR(C27="",D27=""),"",D27-C27)</x:f>
      </x:c>
      <x:c r="N27" s="141"/>
    </x:row>
    <x:row r="28">
      <x:c r="A28" s="139"/>
      <x:c r="B28" s="117"/>
      <x:c r="C28" s="160"/>
      <x:c r="D28" s="138" t="str">
        <x:f>IF(OR(A28="",B28=""),"",SUMIFS('Human Time Log'!$H$4:$H$503,'Human Time Log'!$A$4:$A$503,A28,'Human Time Log'!$B$4:$B$503,B28))</x:f>
      </x:c>
      <x:c r="E28" s="138" t="str">
        <x:f>IF(OR($A28="",$B28=""),"",SUMIFS('Human Time Log'!$H$4:$H$503,'Human Time Log'!$A$4:$A$503,$A28,'Human Time Log'!$B$4:$B$503,$B28,'Human Time Log'!$D$4:$D$503,"Analysis &amp; Prompting"))</x:f>
      </x:c>
      <x:c r="F28" s="138" t="str">
        <x:f>IF(OR($A28="",$B28=""),"",SUMIFS('Human Time Log'!$H$4:$H$503,'Human Time Log'!$A$4:$A$503,$A28,'Human Time Log'!$B$4:$B$503,$B28,'Human Time Log'!$D$4:$D$503,"Agent Supervision"))</x:f>
      </x:c>
      <x:c r="G28" s="138" t="str">
        <x:f>IF(OR($A28="",$B28=""),"",SUMIFS('Human Time Log'!$H$4:$H$503,'Human Time Log'!$A$4:$A$503,$A28,'Human Time Log'!$B$4:$B$503,$B28,'Human Time Log'!$D$4:$D$503,"Human Review"))</x:f>
      </x:c>
      <x:c r="H28" s="138" t="str">
        <x:f>IF(OR($A28="",$B28=""),"",SUMIFS('Human Time Log'!$H$4:$H$503,'Human Time Log'!$A$4:$A$503,$A28,'Human Time Log'!$B$4:$B$503,$B28,'Human Time Log'!$D$4:$D$503,"Testing / Acceptance"))</x:f>
      </x:c>
      <x:c r="I28" s="138" t="str">
        <x:f>IF(OR($A28="",$B28=""),"",SUMIFS('Human Time Log'!$H$4:$H$503,'Human Time Log'!$A$4:$A$503,$A28,'Human Time Log'!$B$4:$B$503,$B28,'Human Time Log'!$D$4:$D$503,"Fix / Rework"))</x:f>
      </x:c>
      <x:c r="J28" s="138" t="str">
        <x:f>IF(OR($A28="",$B28=""),"",SUMIFS('Human Time Log'!$H$4:$H$503,'Human Time Log'!$A$4:$A$503,$A28,'Human Time Log'!$B$4:$B$503,$B28,'Human Time Log'!$D$4:$D$503,"Integration / Deployment"))</x:f>
      </x:c>
      <x:c r="K28" s="138" t="str">
        <x:f>IF(OR($A28="",$B28=""),"",SUMIFS('Human Time Log'!$H$4:$H$503,'Human Time Log'!$A$4:$A$503,$A28,'Human Time Log'!$B$4:$B$503,$B28,'Human Time Log'!$D$4:$D$503,"PM / Documentation"))</x:f>
      </x:c>
      <x:c r="L28" s="138" t="str">
        <x:f>IF(OR($A28="",$B28=""),"",SUMIFS('Human Time Log'!$H$4:$H$503,'Human Time Log'!$A$4:$A$503,$A28,'Human Time Log'!$B$4:$B$503,$B28,'Human Time Log'!$D$4:$D$503,"Meeting")+SUMIFS('Human Time Log'!$H$4:$H$503,'Human Time Log'!$A$4:$A$503,$A28,'Human Time Log'!$B$4:$B$503,$B28,'Human Time Log'!$D$4:$D$503,"Other"))</x:f>
      </x:c>
      <x:c r="M28" s="138" t="str">
        <x:f>IF(OR(C28="",D28=""),"",D28-C28)</x:f>
      </x:c>
      <x:c r="N28" s="141"/>
    </x:row>
    <x:row r="29">
      <x:c r="A29" s="139"/>
      <x:c r="B29" s="117"/>
      <x:c r="C29" s="160"/>
      <x:c r="D29" s="138" t="str">
        <x:f>IF(OR(A29="",B29=""),"",SUMIFS('Human Time Log'!$H$4:$H$503,'Human Time Log'!$A$4:$A$503,A29,'Human Time Log'!$B$4:$B$503,B29))</x:f>
      </x:c>
      <x:c r="E29" s="138" t="str">
        <x:f>IF(OR($A29="",$B29=""),"",SUMIFS('Human Time Log'!$H$4:$H$503,'Human Time Log'!$A$4:$A$503,$A29,'Human Time Log'!$B$4:$B$503,$B29,'Human Time Log'!$D$4:$D$503,"Analysis &amp; Prompting"))</x:f>
      </x:c>
      <x:c r="F29" s="138" t="str">
        <x:f>IF(OR($A29="",$B29=""),"",SUMIFS('Human Time Log'!$H$4:$H$503,'Human Time Log'!$A$4:$A$503,$A29,'Human Time Log'!$B$4:$B$503,$B29,'Human Time Log'!$D$4:$D$503,"Agent Supervision"))</x:f>
      </x:c>
      <x:c r="G29" s="138" t="str">
        <x:f>IF(OR($A29="",$B29=""),"",SUMIFS('Human Time Log'!$H$4:$H$503,'Human Time Log'!$A$4:$A$503,$A29,'Human Time Log'!$B$4:$B$503,$B29,'Human Time Log'!$D$4:$D$503,"Human Review"))</x:f>
      </x:c>
      <x:c r="H29" s="138" t="str">
        <x:f>IF(OR($A29="",$B29=""),"",SUMIFS('Human Time Log'!$H$4:$H$503,'Human Time Log'!$A$4:$A$503,$A29,'Human Time Log'!$B$4:$B$503,$B29,'Human Time Log'!$D$4:$D$503,"Testing / Acceptance"))</x:f>
      </x:c>
      <x:c r="I29" s="138" t="str">
        <x:f>IF(OR($A29="",$B29=""),"",SUMIFS('Human Time Log'!$H$4:$H$503,'Human Time Log'!$A$4:$A$503,$A29,'Human Time Log'!$B$4:$B$503,$B29,'Human Time Log'!$D$4:$D$503,"Fix / Rework"))</x:f>
      </x:c>
      <x:c r="J29" s="138" t="str">
        <x:f>IF(OR($A29="",$B29=""),"",SUMIFS('Human Time Log'!$H$4:$H$503,'Human Time Log'!$A$4:$A$503,$A29,'Human Time Log'!$B$4:$B$503,$B29,'Human Time Log'!$D$4:$D$503,"Integration / Deployment"))</x:f>
      </x:c>
      <x:c r="K29" s="138" t="str">
        <x:f>IF(OR($A29="",$B29=""),"",SUMIFS('Human Time Log'!$H$4:$H$503,'Human Time Log'!$A$4:$A$503,$A29,'Human Time Log'!$B$4:$B$503,$B29,'Human Time Log'!$D$4:$D$503,"PM / Documentation"))</x:f>
      </x:c>
      <x:c r="L29" s="138" t="str">
        <x:f>IF(OR($A29="",$B29=""),"",SUMIFS('Human Time Log'!$H$4:$H$503,'Human Time Log'!$A$4:$A$503,$A29,'Human Time Log'!$B$4:$B$503,$B29,'Human Time Log'!$D$4:$D$503,"Meeting")+SUMIFS('Human Time Log'!$H$4:$H$503,'Human Time Log'!$A$4:$A$503,$A29,'Human Time Log'!$B$4:$B$503,$B29,'Human Time Log'!$D$4:$D$503,"Other"))</x:f>
      </x:c>
      <x:c r="M29" s="138" t="str">
        <x:f>IF(OR(C29="",D29=""),"",D29-C29)</x:f>
      </x:c>
      <x:c r="N29" s="141"/>
    </x:row>
    <x:row r="30">
      <x:c r="A30" s="139"/>
      <x:c r="B30" s="117"/>
      <x:c r="C30" s="160"/>
      <x:c r="D30" s="138" t="str">
        <x:f>IF(OR(A30="",B30=""),"",SUMIFS('Human Time Log'!$H$4:$H$503,'Human Time Log'!$A$4:$A$503,A30,'Human Time Log'!$B$4:$B$503,B30))</x:f>
      </x:c>
      <x:c r="E30" s="138" t="str">
        <x:f>IF(OR($A30="",$B30=""),"",SUMIFS('Human Time Log'!$H$4:$H$503,'Human Time Log'!$A$4:$A$503,$A30,'Human Time Log'!$B$4:$B$503,$B30,'Human Time Log'!$D$4:$D$503,"Analysis &amp; Prompting"))</x:f>
      </x:c>
      <x:c r="F30" s="138" t="str">
        <x:f>IF(OR($A30="",$B30=""),"",SUMIFS('Human Time Log'!$H$4:$H$503,'Human Time Log'!$A$4:$A$503,$A30,'Human Time Log'!$B$4:$B$503,$B30,'Human Time Log'!$D$4:$D$503,"Agent Supervision"))</x:f>
      </x:c>
      <x:c r="G30" s="138" t="str">
        <x:f>IF(OR($A30="",$B30=""),"",SUMIFS('Human Time Log'!$H$4:$H$503,'Human Time Log'!$A$4:$A$503,$A30,'Human Time Log'!$B$4:$B$503,$B30,'Human Time Log'!$D$4:$D$503,"Human Review"))</x:f>
      </x:c>
      <x:c r="H30" s="138" t="str">
        <x:f>IF(OR($A30="",$B30=""),"",SUMIFS('Human Time Log'!$H$4:$H$503,'Human Time Log'!$A$4:$A$503,$A30,'Human Time Log'!$B$4:$B$503,$B30,'Human Time Log'!$D$4:$D$503,"Testing / Acceptance"))</x:f>
      </x:c>
      <x:c r="I30" s="138" t="str">
        <x:f>IF(OR($A30="",$B30=""),"",SUMIFS('Human Time Log'!$H$4:$H$503,'Human Time Log'!$A$4:$A$503,$A30,'Human Time Log'!$B$4:$B$503,$B30,'Human Time Log'!$D$4:$D$503,"Fix / Rework"))</x:f>
      </x:c>
      <x:c r="J30" s="138" t="str">
        <x:f>IF(OR($A30="",$B30=""),"",SUMIFS('Human Time Log'!$H$4:$H$503,'Human Time Log'!$A$4:$A$503,$A30,'Human Time Log'!$B$4:$B$503,$B30,'Human Time Log'!$D$4:$D$503,"Integration / Deployment"))</x:f>
      </x:c>
      <x:c r="K30" s="138" t="str">
        <x:f>IF(OR($A30="",$B30=""),"",SUMIFS('Human Time Log'!$H$4:$H$503,'Human Time Log'!$A$4:$A$503,$A30,'Human Time Log'!$B$4:$B$503,$B30,'Human Time Log'!$D$4:$D$503,"PM / Documentation"))</x:f>
      </x:c>
      <x:c r="L30" s="138" t="str">
        <x:f>IF(OR($A30="",$B30=""),"",SUMIFS('Human Time Log'!$H$4:$H$503,'Human Time Log'!$A$4:$A$503,$A30,'Human Time Log'!$B$4:$B$503,$B30,'Human Time Log'!$D$4:$D$503,"Meeting")+SUMIFS('Human Time Log'!$H$4:$H$503,'Human Time Log'!$A$4:$A$503,$A30,'Human Time Log'!$B$4:$B$503,$B30,'Human Time Log'!$D$4:$D$503,"Other"))</x:f>
      </x:c>
      <x:c r="M30" s="138" t="str">
        <x:f>IF(OR(C30="",D30=""),"",D30-C30)</x:f>
      </x:c>
      <x:c r="N30" s="141"/>
    </x:row>
    <x:row r="31">
      <x:c r="A31" s="139"/>
      <x:c r="B31" s="117"/>
      <x:c r="C31" s="160"/>
      <x:c r="D31" s="138" t="str">
        <x:f>IF(OR(A31="",B31=""),"",SUMIFS('Human Time Log'!$H$4:$H$503,'Human Time Log'!$A$4:$A$503,A31,'Human Time Log'!$B$4:$B$503,B31))</x:f>
      </x:c>
      <x:c r="E31" s="138" t="str">
        <x:f>IF(OR($A31="",$B31=""),"",SUMIFS('Human Time Log'!$H$4:$H$503,'Human Time Log'!$A$4:$A$503,$A31,'Human Time Log'!$B$4:$B$503,$B31,'Human Time Log'!$D$4:$D$503,"Analysis &amp; Prompting"))</x:f>
      </x:c>
      <x:c r="F31" s="138" t="str">
        <x:f>IF(OR($A31="",$B31=""),"",SUMIFS('Human Time Log'!$H$4:$H$503,'Human Time Log'!$A$4:$A$503,$A31,'Human Time Log'!$B$4:$B$503,$B31,'Human Time Log'!$D$4:$D$503,"Agent Supervision"))</x:f>
      </x:c>
      <x:c r="G31" s="138" t="str">
        <x:f>IF(OR($A31="",$B31=""),"",SUMIFS('Human Time Log'!$H$4:$H$503,'Human Time Log'!$A$4:$A$503,$A31,'Human Time Log'!$B$4:$B$503,$B31,'Human Time Log'!$D$4:$D$503,"Human Review"))</x:f>
      </x:c>
      <x:c r="H31" s="138" t="str">
        <x:f>IF(OR($A31="",$B31=""),"",SUMIFS('Human Time Log'!$H$4:$H$503,'Human Time Log'!$A$4:$A$503,$A31,'Human Time Log'!$B$4:$B$503,$B31,'Human Time Log'!$D$4:$D$503,"Testing / Acceptance"))</x:f>
      </x:c>
      <x:c r="I31" s="138" t="str">
        <x:f>IF(OR($A31="",$B31=""),"",SUMIFS('Human Time Log'!$H$4:$H$503,'Human Time Log'!$A$4:$A$503,$A31,'Human Time Log'!$B$4:$B$503,$B31,'Human Time Log'!$D$4:$D$503,"Fix / Rework"))</x:f>
      </x:c>
      <x:c r="J31" s="138" t="str">
        <x:f>IF(OR($A31="",$B31=""),"",SUMIFS('Human Time Log'!$H$4:$H$503,'Human Time Log'!$A$4:$A$503,$A31,'Human Time Log'!$B$4:$B$503,$B31,'Human Time Log'!$D$4:$D$503,"Integration / Deployment"))</x:f>
      </x:c>
      <x:c r="K31" s="138" t="str">
        <x:f>IF(OR($A31="",$B31=""),"",SUMIFS('Human Time Log'!$H$4:$H$503,'Human Time Log'!$A$4:$A$503,$A31,'Human Time Log'!$B$4:$B$503,$B31,'Human Time Log'!$D$4:$D$503,"PM / Documentation"))</x:f>
      </x:c>
      <x:c r="L31" s="138" t="str">
        <x:f>IF(OR($A31="",$B31=""),"",SUMIFS('Human Time Log'!$H$4:$H$503,'Human Time Log'!$A$4:$A$503,$A31,'Human Time Log'!$B$4:$B$503,$B31,'Human Time Log'!$D$4:$D$503,"Meeting")+SUMIFS('Human Time Log'!$H$4:$H$503,'Human Time Log'!$A$4:$A$503,$A31,'Human Time Log'!$B$4:$B$503,$B31,'Human Time Log'!$D$4:$D$503,"Other"))</x:f>
      </x:c>
      <x:c r="M31" s="138" t="str">
        <x:f>IF(OR(C31="",D31=""),"",D31-C31)</x:f>
      </x:c>
      <x:c r="N31" s="141"/>
    </x:row>
    <x:row r="32">
      <x:c r="A32" s="139"/>
      <x:c r="B32" s="117"/>
      <x:c r="C32" s="160"/>
      <x:c r="D32" s="138" t="str">
        <x:f>IF(OR(A32="",B32=""),"",SUMIFS('Human Time Log'!$H$4:$H$503,'Human Time Log'!$A$4:$A$503,A32,'Human Time Log'!$B$4:$B$503,B32))</x:f>
      </x:c>
      <x:c r="E32" s="138" t="str">
        <x:f>IF(OR($A32="",$B32=""),"",SUMIFS('Human Time Log'!$H$4:$H$503,'Human Time Log'!$A$4:$A$503,$A32,'Human Time Log'!$B$4:$B$503,$B32,'Human Time Log'!$D$4:$D$503,"Analysis &amp; Prompting"))</x:f>
      </x:c>
      <x:c r="F32" s="138" t="str">
        <x:f>IF(OR($A32="",$B32=""),"",SUMIFS('Human Time Log'!$H$4:$H$503,'Human Time Log'!$A$4:$A$503,$A32,'Human Time Log'!$B$4:$B$503,$B32,'Human Time Log'!$D$4:$D$503,"Agent Supervision"))</x:f>
      </x:c>
      <x:c r="G32" s="138" t="str">
        <x:f>IF(OR($A32="",$B32=""),"",SUMIFS('Human Time Log'!$H$4:$H$503,'Human Time Log'!$A$4:$A$503,$A32,'Human Time Log'!$B$4:$B$503,$B32,'Human Time Log'!$D$4:$D$503,"Human Review"))</x:f>
      </x:c>
      <x:c r="H32" s="138" t="str">
        <x:f>IF(OR($A32="",$B32=""),"",SUMIFS('Human Time Log'!$H$4:$H$503,'Human Time Log'!$A$4:$A$503,$A32,'Human Time Log'!$B$4:$B$503,$B32,'Human Time Log'!$D$4:$D$503,"Testing / Acceptance"))</x:f>
      </x:c>
      <x:c r="I32" s="138" t="str">
        <x:f>IF(OR($A32="",$B32=""),"",SUMIFS('Human Time Log'!$H$4:$H$503,'Human Time Log'!$A$4:$A$503,$A32,'Human Time Log'!$B$4:$B$503,$B32,'Human Time Log'!$D$4:$D$503,"Fix / Rework"))</x:f>
      </x:c>
      <x:c r="J32" s="138" t="str">
        <x:f>IF(OR($A32="",$B32=""),"",SUMIFS('Human Time Log'!$H$4:$H$503,'Human Time Log'!$A$4:$A$503,$A32,'Human Time Log'!$B$4:$B$503,$B32,'Human Time Log'!$D$4:$D$503,"Integration / Deployment"))</x:f>
      </x:c>
      <x:c r="K32" s="138" t="str">
        <x:f>IF(OR($A32="",$B32=""),"",SUMIFS('Human Time Log'!$H$4:$H$503,'Human Time Log'!$A$4:$A$503,$A32,'Human Time Log'!$B$4:$B$503,$B32,'Human Time Log'!$D$4:$D$503,"PM / Documentation"))</x:f>
      </x:c>
      <x:c r="L32" s="138" t="str">
        <x:f>IF(OR($A32="",$B32=""),"",SUMIFS('Human Time Log'!$H$4:$H$503,'Human Time Log'!$A$4:$A$503,$A32,'Human Time Log'!$B$4:$B$503,$B32,'Human Time Log'!$D$4:$D$503,"Meeting")+SUMIFS('Human Time Log'!$H$4:$H$503,'Human Time Log'!$A$4:$A$503,$A32,'Human Time Log'!$B$4:$B$503,$B32,'Human Time Log'!$D$4:$D$503,"Other"))</x:f>
      </x:c>
      <x:c r="M32" s="138" t="str">
        <x:f>IF(OR(C32="",D32=""),"",D32-C32)</x:f>
      </x:c>
      <x:c r="N32" s="141"/>
    </x:row>
    <x:row r="33">
      <x:c r="A33" s="139"/>
      <x:c r="B33" s="117"/>
      <x:c r="C33" s="160"/>
      <x:c r="D33" s="138" t="str">
        <x:f>IF(OR(A33="",B33=""),"",SUMIFS('Human Time Log'!$H$4:$H$503,'Human Time Log'!$A$4:$A$503,A33,'Human Time Log'!$B$4:$B$503,B33))</x:f>
      </x:c>
      <x:c r="E33" s="138" t="str">
        <x:f>IF(OR($A33="",$B33=""),"",SUMIFS('Human Time Log'!$H$4:$H$503,'Human Time Log'!$A$4:$A$503,$A33,'Human Time Log'!$B$4:$B$503,$B33,'Human Time Log'!$D$4:$D$503,"Analysis &amp; Prompting"))</x:f>
      </x:c>
      <x:c r="F33" s="138" t="str">
        <x:f>IF(OR($A33="",$B33=""),"",SUMIFS('Human Time Log'!$H$4:$H$503,'Human Time Log'!$A$4:$A$503,$A33,'Human Time Log'!$B$4:$B$503,$B33,'Human Time Log'!$D$4:$D$503,"Agent Supervision"))</x:f>
      </x:c>
      <x:c r="G33" s="138" t="str">
        <x:f>IF(OR($A33="",$B33=""),"",SUMIFS('Human Time Log'!$H$4:$H$503,'Human Time Log'!$A$4:$A$503,$A33,'Human Time Log'!$B$4:$B$503,$B33,'Human Time Log'!$D$4:$D$503,"Human Review"))</x:f>
      </x:c>
      <x:c r="H33" s="138" t="str">
        <x:f>IF(OR($A33="",$B33=""),"",SUMIFS('Human Time Log'!$H$4:$H$503,'Human Time Log'!$A$4:$A$503,$A33,'Human Time Log'!$B$4:$B$503,$B33,'Human Time Log'!$D$4:$D$503,"Testing / Acceptance"))</x:f>
      </x:c>
      <x:c r="I33" s="138" t="str">
        <x:f>IF(OR($A33="",$B33=""),"",SUMIFS('Human Time Log'!$H$4:$H$503,'Human Time Log'!$A$4:$A$503,$A33,'Human Time Log'!$B$4:$B$503,$B33,'Human Time Log'!$D$4:$D$503,"Fix / Rework"))</x:f>
      </x:c>
      <x:c r="J33" s="138" t="str">
        <x:f>IF(OR($A33="",$B33=""),"",SUMIFS('Human Time Log'!$H$4:$H$503,'Human Time Log'!$A$4:$A$503,$A33,'Human Time Log'!$B$4:$B$503,$B33,'Human Time Log'!$D$4:$D$503,"Integration / Deployment"))</x:f>
      </x:c>
      <x:c r="K33" s="138" t="str">
        <x:f>IF(OR($A33="",$B33=""),"",SUMIFS('Human Time Log'!$H$4:$H$503,'Human Time Log'!$A$4:$A$503,$A33,'Human Time Log'!$B$4:$B$503,$B33,'Human Time Log'!$D$4:$D$503,"PM / Documentation"))</x:f>
      </x:c>
      <x:c r="L33" s="138" t="str">
        <x:f>IF(OR($A33="",$B33=""),"",SUMIFS('Human Time Log'!$H$4:$H$503,'Human Time Log'!$A$4:$A$503,$A33,'Human Time Log'!$B$4:$B$503,$B33,'Human Time Log'!$D$4:$D$503,"Meeting")+SUMIFS('Human Time Log'!$H$4:$H$503,'Human Time Log'!$A$4:$A$503,$A33,'Human Time Log'!$B$4:$B$503,$B33,'Human Time Log'!$D$4:$D$503,"Other"))</x:f>
      </x:c>
      <x:c r="M33" s="138" t="str">
        <x:f>IF(OR(C33="",D33=""),"",D33-C33)</x:f>
      </x:c>
      <x:c r="N33" s="141"/>
    </x:row>
    <x:row r="34">
      <x:c r="A34" s="139"/>
      <x:c r="B34" s="117"/>
      <x:c r="C34" s="160"/>
      <x:c r="D34" s="138" t="str">
        <x:f>IF(OR(A34="",B34=""),"",SUMIFS('Human Time Log'!$H$4:$H$503,'Human Time Log'!$A$4:$A$503,A34,'Human Time Log'!$B$4:$B$503,B34))</x:f>
      </x:c>
      <x:c r="E34" s="138" t="str">
        <x:f>IF(OR($A34="",$B34=""),"",SUMIFS('Human Time Log'!$H$4:$H$503,'Human Time Log'!$A$4:$A$503,$A34,'Human Time Log'!$B$4:$B$503,$B34,'Human Time Log'!$D$4:$D$503,"Analysis &amp; Prompting"))</x:f>
      </x:c>
      <x:c r="F34" s="138" t="str">
        <x:f>IF(OR($A34="",$B34=""),"",SUMIFS('Human Time Log'!$H$4:$H$503,'Human Time Log'!$A$4:$A$503,$A34,'Human Time Log'!$B$4:$B$503,$B34,'Human Time Log'!$D$4:$D$503,"Agent Supervision"))</x:f>
      </x:c>
      <x:c r="G34" s="138" t="str">
        <x:f>IF(OR($A34="",$B34=""),"",SUMIFS('Human Time Log'!$H$4:$H$503,'Human Time Log'!$A$4:$A$503,$A34,'Human Time Log'!$B$4:$B$503,$B34,'Human Time Log'!$D$4:$D$503,"Human Review"))</x:f>
      </x:c>
      <x:c r="H34" s="138" t="str">
        <x:f>IF(OR($A34="",$B34=""),"",SUMIFS('Human Time Log'!$H$4:$H$503,'Human Time Log'!$A$4:$A$503,$A34,'Human Time Log'!$B$4:$B$503,$B34,'Human Time Log'!$D$4:$D$503,"Testing / Acceptance"))</x:f>
      </x:c>
      <x:c r="I34" s="138" t="str">
        <x:f>IF(OR($A34="",$B34=""),"",SUMIFS('Human Time Log'!$H$4:$H$503,'Human Time Log'!$A$4:$A$503,$A34,'Human Time Log'!$B$4:$B$503,$B34,'Human Time Log'!$D$4:$D$503,"Fix / Rework"))</x:f>
      </x:c>
      <x:c r="J34" s="138" t="str">
        <x:f>IF(OR($A34="",$B34=""),"",SUMIFS('Human Time Log'!$H$4:$H$503,'Human Time Log'!$A$4:$A$503,$A34,'Human Time Log'!$B$4:$B$503,$B34,'Human Time Log'!$D$4:$D$503,"Integration / Deployment"))</x:f>
      </x:c>
      <x:c r="K34" s="138" t="str">
        <x:f>IF(OR($A34="",$B34=""),"",SUMIFS('Human Time Log'!$H$4:$H$503,'Human Time Log'!$A$4:$A$503,$A34,'Human Time Log'!$B$4:$B$503,$B34,'Human Time Log'!$D$4:$D$503,"PM / Documentation"))</x:f>
      </x:c>
      <x:c r="L34" s="138" t="str">
        <x:f>IF(OR($A34="",$B34=""),"",SUMIFS('Human Time Log'!$H$4:$H$503,'Human Time Log'!$A$4:$A$503,$A34,'Human Time Log'!$B$4:$B$503,$B34,'Human Time Log'!$D$4:$D$503,"Meeting")+SUMIFS('Human Time Log'!$H$4:$H$503,'Human Time Log'!$A$4:$A$503,$A34,'Human Time Log'!$B$4:$B$503,$B34,'Human Time Log'!$D$4:$D$503,"Other"))</x:f>
      </x:c>
      <x:c r="M34" s="138" t="str">
        <x:f>IF(OR(C34="",D34=""),"",D34-C34)</x:f>
      </x:c>
      <x:c r="N34" s="141"/>
    </x:row>
    <x:row r="35">
      <x:c r="A35" s="139"/>
      <x:c r="B35" s="117"/>
      <x:c r="C35" s="160"/>
      <x:c r="D35" s="138" t="str">
        <x:f>IF(OR(A35="",B35=""),"",SUMIFS('Human Time Log'!$H$4:$H$503,'Human Time Log'!$A$4:$A$503,A35,'Human Time Log'!$B$4:$B$503,B35))</x:f>
      </x:c>
      <x:c r="E35" s="138" t="str">
        <x:f>IF(OR($A35="",$B35=""),"",SUMIFS('Human Time Log'!$H$4:$H$503,'Human Time Log'!$A$4:$A$503,$A35,'Human Time Log'!$B$4:$B$503,$B35,'Human Time Log'!$D$4:$D$503,"Analysis &amp; Prompting"))</x:f>
      </x:c>
      <x:c r="F35" s="138" t="str">
        <x:f>IF(OR($A35="",$B35=""),"",SUMIFS('Human Time Log'!$H$4:$H$503,'Human Time Log'!$A$4:$A$503,$A35,'Human Time Log'!$B$4:$B$503,$B35,'Human Time Log'!$D$4:$D$503,"Agent Supervision"))</x:f>
      </x:c>
      <x:c r="G35" s="138" t="str">
        <x:f>IF(OR($A35="",$B35=""),"",SUMIFS('Human Time Log'!$H$4:$H$503,'Human Time Log'!$A$4:$A$503,$A35,'Human Time Log'!$B$4:$B$503,$B35,'Human Time Log'!$D$4:$D$503,"Human Review"))</x:f>
      </x:c>
      <x:c r="H35" s="138" t="str">
        <x:f>IF(OR($A35="",$B35=""),"",SUMIFS('Human Time Log'!$H$4:$H$503,'Human Time Log'!$A$4:$A$503,$A35,'Human Time Log'!$B$4:$B$503,$B35,'Human Time Log'!$D$4:$D$503,"Testing / Acceptance"))</x:f>
      </x:c>
      <x:c r="I35" s="138" t="str">
        <x:f>IF(OR($A35="",$B35=""),"",SUMIFS('Human Time Log'!$H$4:$H$503,'Human Time Log'!$A$4:$A$503,$A35,'Human Time Log'!$B$4:$B$503,$B35,'Human Time Log'!$D$4:$D$503,"Fix / Rework"))</x:f>
      </x:c>
      <x:c r="J35" s="138" t="str">
        <x:f>IF(OR($A35="",$B35=""),"",SUMIFS('Human Time Log'!$H$4:$H$503,'Human Time Log'!$A$4:$A$503,$A35,'Human Time Log'!$B$4:$B$503,$B35,'Human Time Log'!$D$4:$D$503,"Integration / Deployment"))</x:f>
      </x:c>
      <x:c r="K35" s="138" t="str">
        <x:f>IF(OR($A35="",$B35=""),"",SUMIFS('Human Time Log'!$H$4:$H$503,'Human Time Log'!$A$4:$A$503,$A35,'Human Time Log'!$B$4:$B$503,$B35,'Human Time Log'!$D$4:$D$503,"PM / Documentation"))</x:f>
      </x:c>
      <x:c r="L35" s="138" t="str">
        <x:f>IF(OR($A35="",$B35=""),"",SUMIFS('Human Time Log'!$H$4:$H$503,'Human Time Log'!$A$4:$A$503,$A35,'Human Time Log'!$B$4:$B$503,$B35,'Human Time Log'!$D$4:$D$503,"Meeting")+SUMIFS('Human Time Log'!$H$4:$H$503,'Human Time Log'!$A$4:$A$503,$A35,'Human Time Log'!$B$4:$B$503,$B35,'Human Time Log'!$D$4:$D$503,"Other"))</x:f>
      </x:c>
      <x:c r="M35" s="138" t="str">
        <x:f>IF(OR(C35="",D35=""),"",D35-C35)</x:f>
      </x:c>
      <x:c r="N35" s="141"/>
    </x:row>
    <x:row r="36">
      <x:c r="A36" s="139"/>
      <x:c r="B36" s="117"/>
      <x:c r="C36" s="160"/>
      <x:c r="D36" s="138" t="str">
        <x:f>IF(OR(A36="",B36=""),"",SUMIFS('Human Time Log'!$H$4:$H$503,'Human Time Log'!$A$4:$A$503,A36,'Human Time Log'!$B$4:$B$503,B36))</x:f>
      </x:c>
      <x:c r="E36" s="138" t="str">
        <x:f>IF(OR($A36="",$B36=""),"",SUMIFS('Human Time Log'!$H$4:$H$503,'Human Time Log'!$A$4:$A$503,$A36,'Human Time Log'!$B$4:$B$503,$B36,'Human Time Log'!$D$4:$D$503,"Analysis &amp; Prompting"))</x:f>
      </x:c>
      <x:c r="F36" s="138" t="str">
        <x:f>IF(OR($A36="",$B36=""),"",SUMIFS('Human Time Log'!$H$4:$H$503,'Human Time Log'!$A$4:$A$503,$A36,'Human Time Log'!$B$4:$B$503,$B36,'Human Time Log'!$D$4:$D$503,"Agent Supervision"))</x:f>
      </x:c>
      <x:c r="G36" s="138" t="str">
        <x:f>IF(OR($A36="",$B36=""),"",SUMIFS('Human Time Log'!$H$4:$H$503,'Human Time Log'!$A$4:$A$503,$A36,'Human Time Log'!$B$4:$B$503,$B36,'Human Time Log'!$D$4:$D$503,"Human Review"))</x:f>
      </x:c>
      <x:c r="H36" s="138" t="str">
        <x:f>IF(OR($A36="",$B36=""),"",SUMIFS('Human Time Log'!$H$4:$H$503,'Human Time Log'!$A$4:$A$503,$A36,'Human Time Log'!$B$4:$B$503,$B36,'Human Time Log'!$D$4:$D$503,"Testing / Acceptance"))</x:f>
      </x:c>
      <x:c r="I36" s="138" t="str">
        <x:f>IF(OR($A36="",$B36=""),"",SUMIFS('Human Time Log'!$H$4:$H$503,'Human Time Log'!$A$4:$A$503,$A36,'Human Time Log'!$B$4:$B$503,$B36,'Human Time Log'!$D$4:$D$503,"Fix / Rework"))</x:f>
      </x:c>
      <x:c r="J36" s="138" t="str">
        <x:f>IF(OR($A36="",$B36=""),"",SUMIFS('Human Time Log'!$H$4:$H$503,'Human Time Log'!$A$4:$A$503,$A36,'Human Time Log'!$B$4:$B$503,$B36,'Human Time Log'!$D$4:$D$503,"Integration / Deployment"))</x:f>
      </x:c>
      <x:c r="K36" s="138" t="str">
        <x:f>IF(OR($A36="",$B36=""),"",SUMIFS('Human Time Log'!$H$4:$H$503,'Human Time Log'!$A$4:$A$503,$A36,'Human Time Log'!$B$4:$B$503,$B36,'Human Time Log'!$D$4:$D$503,"PM / Documentation"))</x:f>
      </x:c>
      <x:c r="L36" s="138" t="str">
        <x:f>IF(OR($A36="",$B36=""),"",SUMIFS('Human Time Log'!$H$4:$H$503,'Human Time Log'!$A$4:$A$503,$A36,'Human Time Log'!$B$4:$B$503,$B36,'Human Time Log'!$D$4:$D$503,"Meeting")+SUMIFS('Human Time Log'!$H$4:$H$503,'Human Time Log'!$A$4:$A$503,$A36,'Human Time Log'!$B$4:$B$503,$B36,'Human Time Log'!$D$4:$D$503,"Other"))</x:f>
      </x:c>
      <x:c r="M36" s="138" t="str">
        <x:f>IF(OR(C36="",D36=""),"",D36-C36)</x:f>
      </x:c>
      <x:c r="N36" s="141"/>
    </x:row>
    <x:row r="37">
      <x:c r="A37" s="139"/>
      <x:c r="B37" s="117"/>
      <x:c r="C37" s="160"/>
      <x:c r="D37" s="138" t="str">
        <x:f>IF(OR(A37="",B37=""),"",SUMIFS('Human Time Log'!$H$4:$H$503,'Human Time Log'!$A$4:$A$503,A37,'Human Time Log'!$B$4:$B$503,B37))</x:f>
      </x:c>
      <x:c r="E37" s="138" t="str">
        <x:f>IF(OR($A37="",$B37=""),"",SUMIFS('Human Time Log'!$H$4:$H$503,'Human Time Log'!$A$4:$A$503,$A37,'Human Time Log'!$B$4:$B$503,$B37,'Human Time Log'!$D$4:$D$503,"Analysis &amp; Prompting"))</x:f>
      </x:c>
      <x:c r="F37" s="138" t="str">
        <x:f>IF(OR($A37="",$B37=""),"",SUMIFS('Human Time Log'!$H$4:$H$503,'Human Time Log'!$A$4:$A$503,$A37,'Human Time Log'!$B$4:$B$503,$B37,'Human Time Log'!$D$4:$D$503,"Agent Supervision"))</x:f>
      </x:c>
      <x:c r="G37" s="138" t="str">
        <x:f>IF(OR($A37="",$B37=""),"",SUMIFS('Human Time Log'!$H$4:$H$503,'Human Time Log'!$A$4:$A$503,$A37,'Human Time Log'!$B$4:$B$503,$B37,'Human Time Log'!$D$4:$D$503,"Human Review"))</x:f>
      </x:c>
      <x:c r="H37" s="138" t="str">
        <x:f>IF(OR($A37="",$B37=""),"",SUMIFS('Human Time Log'!$H$4:$H$503,'Human Time Log'!$A$4:$A$503,$A37,'Human Time Log'!$B$4:$B$503,$B37,'Human Time Log'!$D$4:$D$503,"Testing / Acceptance"))</x:f>
      </x:c>
      <x:c r="I37" s="138" t="str">
        <x:f>IF(OR($A37="",$B37=""),"",SUMIFS('Human Time Log'!$H$4:$H$503,'Human Time Log'!$A$4:$A$503,$A37,'Human Time Log'!$B$4:$B$503,$B37,'Human Time Log'!$D$4:$D$503,"Fix / Rework"))</x:f>
      </x:c>
      <x:c r="J37" s="138" t="str">
        <x:f>IF(OR($A37="",$B37=""),"",SUMIFS('Human Time Log'!$H$4:$H$503,'Human Time Log'!$A$4:$A$503,$A37,'Human Time Log'!$B$4:$B$503,$B37,'Human Time Log'!$D$4:$D$503,"Integration / Deployment"))</x:f>
      </x:c>
      <x:c r="K37" s="138" t="str">
        <x:f>IF(OR($A37="",$B37=""),"",SUMIFS('Human Time Log'!$H$4:$H$503,'Human Time Log'!$A$4:$A$503,$A37,'Human Time Log'!$B$4:$B$503,$B37,'Human Time Log'!$D$4:$D$503,"PM / Documentation"))</x:f>
      </x:c>
      <x:c r="L37" s="138" t="str">
        <x:f>IF(OR($A37="",$B37=""),"",SUMIFS('Human Time Log'!$H$4:$H$503,'Human Time Log'!$A$4:$A$503,$A37,'Human Time Log'!$B$4:$B$503,$B37,'Human Time Log'!$D$4:$D$503,"Meeting")+SUMIFS('Human Time Log'!$H$4:$H$503,'Human Time Log'!$A$4:$A$503,$A37,'Human Time Log'!$B$4:$B$503,$B37,'Human Time Log'!$D$4:$D$503,"Other"))</x:f>
      </x:c>
      <x:c r="M37" s="138" t="str">
        <x:f>IF(OR(C37="",D37=""),"",D37-C37)</x:f>
      </x:c>
      <x:c r="N37" s="141"/>
    </x:row>
    <x:row r="38">
      <x:c r="A38" s="139"/>
      <x:c r="B38" s="117"/>
      <x:c r="C38" s="160"/>
      <x:c r="D38" s="138" t="str">
        <x:f>IF(OR(A38="",B38=""),"",SUMIFS('Human Time Log'!$H$4:$H$503,'Human Time Log'!$A$4:$A$503,A38,'Human Time Log'!$B$4:$B$503,B38))</x:f>
      </x:c>
      <x:c r="E38" s="138" t="str">
        <x:f>IF(OR($A38="",$B38=""),"",SUMIFS('Human Time Log'!$H$4:$H$503,'Human Time Log'!$A$4:$A$503,$A38,'Human Time Log'!$B$4:$B$503,$B38,'Human Time Log'!$D$4:$D$503,"Analysis &amp; Prompting"))</x:f>
      </x:c>
      <x:c r="F38" s="138" t="str">
        <x:f>IF(OR($A38="",$B38=""),"",SUMIFS('Human Time Log'!$H$4:$H$503,'Human Time Log'!$A$4:$A$503,$A38,'Human Time Log'!$B$4:$B$503,$B38,'Human Time Log'!$D$4:$D$503,"Agent Supervision"))</x:f>
      </x:c>
      <x:c r="G38" s="138" t="str">
        <x:f>IF(OR($A38="",$B38=""),"",SUMIFS('Human Time Log'!$H$4:$H$503,'Human Time Log'!$A$4:$A$503,$A38,'Human Time Log'!$B$4:$B$503,$B38,'Human Time Log'!$D$4:$D$503,"Human Review"))</x:f>
      </x:c>
      <x:c r="H38" s="138" t="str">
        <x:f>IF(OR($A38="",$B38=""),"",SUMIFS('Human Time Log'!$H$4:$H$503,'Human Time Log'!$A$4:$A$503,$A38,'Human Time Log'!$B$4:$B$503,$B38,'Human Time Log'!$D$4:$D$503,"Testing / Acceptance"))</x:f>
      </x:c>
      <x:c r="I38" s="138" t="str">
        <x:f>IF(OR($A38="",$B38=""),"",SUMIFS('Human Time Log'!$H$4:$H$503,'Human Time Log'!$A$4:$A$503,$A38,'Human Time Log'!$B$4:$B$503,$B38,'Human Time Log'!$D$4:$D$503,"Fix / Rework"))</x:f>
      </x:c>
      <x:c r="J38" s="138" t="str">
        <x:f>IF(OR($A38="",$B38=""),"",SUMIFS('Human Time Log'!$H$4:$H$503,'Human Time Log'!$A$4:$A$503,$A38,'Human Time Log'!$B$4:$B$503,$B38,'Human Time Log'!$D$4:$D$503,"Integration / Deployment"))</x:f>
      </x:c>
      <x:c r="K38" s="138" t="str">
        <x:f>IF(OR($A38="",$B38=""),"",SUMIFS('Human Time Log'!$H$4:$H$503,'Human Time Log'!$A$4:$A$503,$A38,'Human Time Log'!$B$4:$B$503,$B38,'Human Time Log'!$D$4:$D$503,"PM / Documentation"))</x:f>
      </x:c>
      <x:c r="L38" s="138" t="str">
        <x:f>IF(OR($A38="",$B38=""),"",SUMIFS('Human Time Log'!$H$4:$H$503,'Human Time Log'!$A$4:$A$503,$A38,'Human Time Log'!$B$4:$B$503,$B38,'Human Time Log'!$D$4:$D$503,"Meeting")+SUMIFS('Human Time Log'!$H$4:$H$503,'Human Time Log'!$A$4:$A$503,$A38,'Human Time Log'!$B$4:$B$503,$B38,'Human Time Log'!$D$4:$D$503,"Other"))</x:f>
      </x:c>
      <x:c r="M38" s="138" t="str">
        <x:f>IF(OR(C38="",D38=""),"",D38-C38)</x:f>
      </x:c>
      <x:c r="N38" s="141"/>
    </x:row>
    <x:row r="39">
      <x:c r="A39" s="139"/>
      <x:c r="B39" s="117"/>
      <x:c r="C39" s="160"/>
      <x:c r="D39" s="138" t="str">
        <x:f>IF(OR(A39="",B39=""),"",SUMIFS('Human Time Log'!$H$4:$H$503,'Human Time Log'!$A$4:$A$503,A39,'Human Time Log'!$B$4:$B$503,B39))</x:f>
      </x:c>
      <x:c r="E39" s="138" t="str">
        <x:f>IF(OR($A39="",$B39=""),"",SUMIFS('Human Time Log'!$H$4:$H$503,'Human Time Log'!$A$4:$A$503,$A39,'Human Time Log'!$B$4:$B$503,$B39,'Human Time Log'!$D$4:$D$503,"Analysis &amp; Prompting"))</x:f>
      </x:c>
      <x:c r="F39" s="138" t="str">
        <x:f>IF(OR($A39="",$B39=""),"",SUMIFS('Human Time Log'!$H$4:$H$503,'Human Time Log'!$A$4:$A$503,$A39,'Human Time Log'!$B$4:$B$503,$B39,'Human Time Log'!$D$4:$D$503,"Agent Supervision"))</x:f>
      </x:c>
      <x:c r="G39" s="138" t="str">
        <x:f>IF(OR($A39="",$B39=""),"",SUMIFS('Human Time Log'!$H$4:$H$503,'Human Time Log'!$A$4:$A$503,$A39,'Human Time Log'!$B$4:$B$503,$B39,'Human Time Log'!$D$4:$D$503,"Human Review"))</x:f>
      </x:c>
      <x:c r="H39" s="138" t="str">
        <x:f>IF(OR($A39="",$B39=""),"",SUMIFS('Human Time Log'!$H$4:$H$503,'Human Time Log'!$A$4:$A$503,$A39,'Human Time Log'!$B$4:$B$503,$B39,'Human Time Log'!$D$4:$D$503,"Testing / Acceptance"))</x:f>
      </x:c>
      <x:c r="I39" s="138" t="str">
        <x:f>IF(OR($A39="",$B39=""),"",SUMIFS('Human Time Log'!$H$4:$H$503,'Human Time Log'!$A$4:$A$503,$A39,'Human Time Log'!$B$4:$B$503,$B39,'Human Time Log'!$D$4:$D$503,"Fix / Rework"))</x:f>
      </x:c>
      <x:c r="J39" s="138" t="str">
        <x:f>IF(OR($A39="",$B39=""),"",SUMIFS('Human Time Log'!$H$4:$H$503,'Human Time Log'!$A$4:$A$503,$A39,'Human Time Log'!$B$4:$B$503,$B39,'Human Time Log'!$D$4:$D$503,"Integration / Deployment"))</x:f>
      </x:c>
      <x:c r="K39" s="138" t="str">
        <x:f>IF(OR($A39="",$B39=""),"",SUMIFS('Human Time Log'!$H$4:$H$503,'Human Time Log'!$A$4:$A$503,$A39,'Human Time Log'!$B$4:$B$503,$B39,'Human Time Log'!$D$4:$D$503,"PM / Documentation"))</x:f>
      </x:c>
      <x:c r="L39" s="138" t="str">
        <x:f>IF(OR($A39="",$B39=""),"",SUMIFS('Human Time Log'!$H$4:$H$503,'Human Time Log'!$A$4:$A$503,$A39,'Human Time Log'!$B$4:$B$503,$B39,'Human Time Log'!$D$4:$D$503,"Meeting")+SUMIFS('Human Time Log'!$H$4:$H$503,'Human Time Log'!$A$4:$A$503,$A39,'Human Time Log'!$B$4:$B$503,$B39,'Human Time Log'!$D$4:$D$503,"Other"))</x:f>
      </x:c>
      <x:c r="M39" s="138" t="str">
        <x:f>IF(OR(C39="",D39=""),"",D39-C39)</x:f>
      </x:c>
      <x:c r="N39" s="141"/>
    </x:row>
    <x:row r="40">
      <x:c r="A40" s="139"/>
      <x:c r="B40" s="117"/>
      <x:c r="C40" s="160"/>
      <x:c r="D40" s="138" t="str">
        <x:f>IF(OR(A40="",B40=""),"",SUMIFS('Human Time Log'!$H$4:$H$503,'Human Time Log'!$A$4:$A$503,A40,'Human Time Log'!$B$4:$B$503,B40))</x:f>
      </x:c>
      <x:c r="E40" s="138" t="str">
        <x:f>IF(OR($A40="",$B40=""),"",SUMIFS('Human Time Log'!$H$4:$H$503,'Human Time Log'!$A$4:$A$503,$A40,'Human Time Log'!$B$4:$B$503,$B40,'Human Time Log'!$D$4:$D$503,"Analysis &amp; Prompting"))</x:f>
      </x:c>
      <x:c r="F40" s="138" t="str">
        <x:f>IF(OR($A40="",$B40=""),"",SUMIFS('Human Time Log'!$H$4:$H$503,'Human Time Log'!$A$4:$A$503,$A40,'Human Time Log'!$B$4:$B$503,$B40,'Human Time Log'!$D$4:$D$503,"Agent Supervision"))</x:f>
      </x:c>
      <x:c r="G40" s="138" t="str">
        <x:f>IF(OR($A40="",$B40=""),"",SUMIFS('Human Time Log'!$H$4:$H$503,'Human Time Log'!$A$4:$A$503,$A40,'Human Time Log'!$B$4:$B$503,$B40,'Human Time Log'!$D$4:$D$503,"Human Review"))</x:f>
      </x:c>
      <x:c r="H40" s="138" t="str">
        <x:f>IF(OR($A40="",$B40=""),"",SUMIFS('Human Time Log'!$H$4:$H$503,'Human Time Log'!$A$4:$A$503,$A40,'Human Time Log'!$B$4:$B$503,$B40,'Human Time Log'!$D$4:$D$503,"Testing / Acceptance"))</x:f>
      </x:c>
      <x:c r="I40" s="138" t="str">
        <x:f>IF(OR($A40="",$B40=""),"",SUMIFS('Human Time Log'!$H$4:$H$503,'Human Time Log'!$A$4:$A$503,$A40,'Human Time Log'!$B$4:$B$503,$B40,'Human Time Log'!$D$4:$D$503,"Fix / Rework"))</x:f>
      </x:c>
      <x:c r="J40" s="138" t="str">
        <x:f>IF(OR($A40="",$B40=""),"",SUMIFS('Human Time Log'!$H$4:$H$503,'Human Time Log'!$A$4:$A$503,$A40,'Human Time Log'!$B$4:$B$503,$B40,'Human Time Log'!$D$4:$D$503,"Integration / Deployment"))</x:f>
      </x:c>
      <x:c r="K40" s="138" t="str">
        <x:f>IF(OR($A40="",$B40=""),"",SUMIFS('Human Time Log'!$H$4:$H$503,'Human Time Log'!$A$4:$A$503,$A40,'Human Time Log'!$B$4:$B$503,$B40,'Human Time Log'!$D$4:$D$503,"PM / Documentation"))</x:f>
      </x:c>
      <x:c r="L40" s="138" t="str">
        <x:f>IF(OR($A40="",$B40=""),"",SUMIFS('Human Time Log'!$H$4:$H$503,'Human Time Log'!$A$4:$A$503,$A40,'Human Time Log'!$B$4:$B$503,$B40,'Human Time Log'!$D$4:$D$503,"Meeting")+SUMIFS('Human Time Log'!$H$4:$H$503,'Human Time Log'!$A$4:$A$503,$A40,'Human Time Log'!$B$4:$B$503,$B40,'Human Time Log'!$D$4:$D$503,"Other"))</x:f>
      </x:c>
      <x:c r="M40" s="138" t="str">
        <x:f>IF(OR(C40="",D40=""),"",D40-C40)</x:f>
      </x:c>
      <x:c r="N40" s="141"/>
    </x:row>
    <x:row r="41">
      <x:c r="A41" s="139"/>
      <x:c r="B41" s="117"/>
      <x:c r="C41" s="160"/>
      <x:c r="D41" s="138" t="str">
        <x:f>IF(OR(A41="",B41=""),"",SUMIFS('Human Time Log'!$H$4:$H$503,'Human Time Log'!$A$4:$A$503,A41,'Human Time Log'!$B$4:$B$503,B41))</x:f>
      </x:c>
      <x:c r="E41" s="138" t="str">
        <x:f>IF(OR($A41="",$B41=""),"",SUMIFS('Human Time Log'!$H$4:$H$503,'Human Time Log'!$A$4:$A$503,$A41,'Human Time Log'!$B$4:$B$503,$B41,'Human Time Log'!$D$4:$D$503,"Analysis &amp; Prompting"))</x:f>
      </x:c>
      <x:c r="F41" s="138" t="str">
        <x:f>IF(OR($A41="",$B41=""),"",SUMIFS('Human Time Log'!$H$4:$H$503,'Human Time Log'!$A$4:$A$503,$A41,'Human Time Log'!$B$4:$B$503,$B41,'Human Time Log'!$D$4:$D$503,"Agent Supervision"))</x:f>
      </x:c>
      <x:c r="G41" s="138" t="str">
        <x:f>IF(OR($A41="",$B41=""),"",SUMIFS('Human Time Log'!$H$4:$H$503,'Human Time Log'!$A$4:$A$503,$A41,'Human Time Log'!$B$4:$B$503,$B41,'Human Time Log'!$D$4:$D$503,"Human Review"))</x:f>
      </x:c>
      <x:c r="H41" s="138" t="str">
        <x:f>IF(OR($A41="",$B41=""),"",SUMIFS('Human Time Log'!$H$4:$H$503,'Human Time Log'!$A$4:$A$503,$A41,'Human Time Log'!$B$4:$B$503,$B41,'Human Time Log'!$D$4:$D$503,"Testing / Acceptance"))</x:f>
      </x:c>
      <x:c r="I41" s="138" t="str">
        <x:f>IF(OR($A41="",$B41=""),"",SUMIFS('Human Time Log'!$H$4:$H$503,'Human Time Log'!$A$4:$A$503,$A41,'Human Time Log'!$B$4:$B$503,$B41,'Human Time Log'!$D$4:$D$503,"Fix / Rework"))</x:f>
      </x:c>
      <x:c r="J41" s="138" t="str">
        <x:f>IF(OR($A41="",$B41=""),"",SUMIFS('Human Time Log'!$H$4:$H$503,'Human Time Log'!$A$4:$A$503,$A41,'Human Time Log'!$B$4:$B$503,$B41,'Human Time Log'!$D$4:$D$503,"Integration / Deployment"))</x:f>
      </x:c>
      <x:c r="K41" s="138" t="str">
        <x:f>IF(OR($A41="",$B41=""),"",SUMIFS('Human Time Log'!$H$4:$H$503,'Human Time Log'!$A$4:$A$503,$A41,'Human Time Log'!$B$4:$B$503,$B41,'Human Time Log'!$D$4:$D$503,"PM / Documentation"))</x:f>
      </x:c>
      <x:c r="L41" s="138" t="str">
        <x:f>IF(OR($A41="",$B41=""),"",SUMIFS('Human Time Log'!$H$4:$H$503,'Human Time Log'!$A$4:$A$503,$A41,'Human Time Log'!$B$4:$B$503,$B41,'Human Time Log'!$D$4:$D$503,"Meeting")+SUMIFS('Human Time Log'!$H$4:$H$503,'Human Time Log'!$A$4:$A$503,$A41,'Human Time Log'!$B$4:$B$503,$B41,'Human Time Log'!$D$4:$D$503,"Other"))</x:f>
      </x:c>
      <x:c r="M41" s="138" t="str">
        <x:f>IF(OR(C41="",D41=""),"",D41-C41)</x:f>
      </x:c>
      <x:c r="N41" s="141"/>
    </x:row>
    <x:row r="42">
      <x:c r="A42" s="139"/>
      <x:c r="B42" s="117"/>
      <x:c r="C42" s="160"/>
      <x:c r="D42" s="138" t="str">
        <x:f>IF(OR(A42="",B42=""),"",SUMIFS('Human Time Log'!$H$4:$H$503,'Human Time Log'!$A$4:$A$503,A42,'Human Time Log'!$B$4:$B$503,B42))</x:f>
      </x:c>
      <x:c r="E42" s="138" t="str">
        <x:f>IF(OR($A42="",$B42=""),"",SUMIFS('Human Time Log'!$H$4:$H$503,'Human Time Log'!$A$4:$A$503,$A42,'Human Time Log'!$B$4:$B$503,$B42,'Human Time Log'!$D$4:$D$503,"Analysis &amp; Prompting"))</x:f>
      </x:c>
      <x:c r="F42" s="138" t="str">
        <x:f>IF(OR($A42="",$B42=""),"",SUMIFS('Human Time Log'!$H$4:$H$503,'Human Time Log'!$A$4:$A$503,$A42,'Human Time Log'!$B$4:$B$503,$B42,'Human Time Log'!$D$4:$D$503,"Agent Supervision"))</x:f>
      </x:c>
      <x:c r="G42" s="138" t="str">
        <x:f>IF(OR($A42="",$B42=""),"",SUMIFS('Human Time Log'!$H$4:$H$503,'Human Time Log'!$A$4:$A$503,$A42,'Human Time Log'!$B$4:$B$503,$B42,'Human Time Log'!$D$4:$D$503,"Human Review"))</x:f>
      </x:c>
      <x:c r="H42" s="138" t="str">
        <x:f>IF(OR($A42="",$B42=""),"",SUMIFS('Human Time Log'!$H$4:$H$503,'Human Time Log'!$A$4:$A$503,$A42,'Human Time Log'!$B$4:$B$503,$B42,'Human Time Log'!$D$4:$D$503,"Testing / Acceptance"))</x:f>
      </x:c>
      <x:c r="I42" s="138" t="str">
        <x:f>IF(OR($A42="",$B42=""),"",SUMIFS('Human Time Log'!$H$4:$H$503,'Human Time Log'!$A$4:$A$503,$A42,'Human Time Log'!$B$4:$B$503,$B42,'Human Time Log'!$D$4:$D$503,"Fix / Rework"))</x:f>
      </x:c>
      <x:c r="J42" s="138" t="str">
        <x:f>IF(OR($A42="",$B42=""),"",SUMIFS('Human Time Log'!$H$4:$H$503,'Human Time Log'!$A$4:$A$503,$A42,'Human Time Log'!$B$4:$B$503,$B42,'Human Time Log'!$D$4:$D$503,"Integration / Deployment"))</x:f>
      </x:c>
      <x:c r="K42" s="138" t="str">
        <x:f>IF(OR($A42="",$B42=""),"",SUMIFS('Human Time Log'!$H$4:$H$503,'Human Time Log'!$A$4:$A$503,$A42,'Human Time Log'!$B$4:$B$503,$B42,'Human Time Log'!$D$4:$D$503,"PM / Documentation"))</x:f>
      </x:c>
      <x:c r="L42" s="138" t="str">
        <x:f>IF(OR($A42="",$B42=""),"",SUMIFS('Human Time Log'!$H$4:$H$503,'Human Time Log'!$A$4:$A$503,$A42,'Human Time Log'!$B$4:$B$503,$B42,'Human Time Log'!$D$4:$D$503,"Meeting")+SUMIFS('Human Time Log'!$H$4:$H$503,'Human Time Log'!$A$4:$A$503,$A42,'Human Time Log'!$B$4:$B$503,$B42,'Human Time Log'!$D$4:$D$503,"Other"))</x:f>
      </x:c>
      <x:c r="M42" s="138" t="str">
        <x:f>IF(OR(C42="",D42=""),"",D42-C42)</x:f>
      </x:c>
      <x:c r="N42" s="141"/>
    </x:row>
    <x:row r="43">
      <x:c r="A43" s="139"/>
      <x:c r="B43" s="117"/>
      <x:c r="C43" s="160"/>
      <x:c r="D43" s="138" t="str">
        <x:f>IF(OR(A43="",B43=""),"",SUMIFS('Human Time Log'!$H$4:$H$503,'Human Time Log'!$A$4:$A$503,A43,'Human Time Log'!$B$4:$B$503,B43))</x:f>
      </x:c>
      <x:c r="E43" s="138" t="str">
        <x:f>IF(OR($A43="",$B43=""),"",SUMIFS('Human Time Log'!$H$4:$H$503,'Human Time Log'!$A$4:$A$503,$A43,'Human Time Log'!$B$4:$B$503,$B43,'Human Time Log'!$D$4:$D$503,"Analysis &amp; Prompting"))</x:f>
      </x:c>
      <x:c r="F43" s="138" t="str">
        <x:f>IF(OR($A43="",$B43=""),"",SUMIFS('Human Time Log'!$H$4:$H$503,'Human Time Log'!$A$4:$A$503,$A43,'Human Time Log'!$B$4:$B$503,$B43,'Human Time Log'!$D$4:$D$503,"Agent Supervision"))</x:f>
      </x:c>
      <x:c r="G43" s="138" t="str">
        <x:f>IF(OR($A43="",$B43=""),"",SUMIFS('Human Time Log'!$H$4:$H$503,'Human Time Log'!$A$4:$A$503,$A43,'Human Time Log'!$B$4:$B$503,$B43,'Human Time Log'!$D$4:$D$503,"Human Review"))</x:f>
      </x:c>
      <x:c r="H43" s="138" t="str">
        <x:f>IF(OR($A43="",$B43=""),"",SUMIFS('Human Time Log'!$H$4:$H$503,'Human Time Log'!$A$4:$A$503,$A43,'Human Time Log'!$B$4:$B$503,$B43,'Human Time Log'!$D$4:$D$503,"Testing / Acceptance"))</x:f>
      </x:c>
      <x:c r="I43" s="138" t="str">
        <x:f>IF(OR($A43="",$B43=""),"",SUMIFS('Human Time Log'!$H$4:$H$503,'Human Time Log'!$A$4:$A$503,$A43,'Human Time Log'!$B$4:$B$503,$B43,'Human Time Log'!$D$4:$D$503,"Fix / Rework"))</x:f>
      </x:c>
      <x:c r="J43" s="138" t="str">
        <x:f>IF(OR($A43="",$B43=""),"",SUMIFS('Human Time Log'!$H$4:$H$503,'Human Time Log'!$A$4:$A$503,$A43,'Human Time Log'!$B$4:$B$503,$B43,'Human Time Log'!$D$4:$D$503,"Integration / Deployment"))</x:f>
      </x:c>
      <x:c r="K43" s="138" t="str">
        <x:f>IF(OR($A43="",$B43=""),"",SUMIFS('Human Time Log'!$H$4:$H$503,'Human Time Log'!$A$4:$A$503,$A43,'Human Time Log'!$B$4:$B$503,$B43,'Human Time Log'!$D$4:$D$503,"PM / Documentation"))</x:f>
      </x:c>
      <x:c r="L43" s="138" t="str">
        <x:f>IF(OR($A43="",$B43=""),"",SUMIFS('Human Time Log'!$H$4:$H$503,'Human Time Log'!$A$4:$A$503,$A43,'Human Time Log'!$B$4:$B$503,$B43,'Human Time Log'!$D$4:$D$503,"Meeting")+SUMIFS('Human Time Log'!$H$4:$H$503,'Human Time Log'!$A$4:$A$503,$A43,'Human Time Log'!$B$4:$B$503,$B43,'Human Time Log'!$D$4:$D$503,"Other"))</x:f>
      </x:c>
      <x:c r="M43" s="138" t="str">
        <x:f>IF(OR(C43="",D43=""),"",D43-C43)</x:f>
      </x:c>
      <x:c r="N43" s="141"/>
    </x:row>
    <x:row r="44">
      <x:c r="A44" s="139"/>
      <x:c r="B44" s="117"/>
      <x:c r="C44" s="160"/>
      <x:c r="D44" s="138" t="str">
        <x:f>IF(OR(A44="",B44=""),"",SUMIFS('Human Time Log'!$H$4:$H$503,'Human Time Log'!$A$4:$A$503,A44,'Human Time Log'!$B$4:$B$503,B44))</x:f>
      </x:c>
      <x:c r="E44" s="138" t="str">
        <x:f>IF(OR($A44="",$B44=""),"",SUMIFS('Human Time Log'!$H$4:$H$503,'Human Time Log'!$A$4:$A$503,$A44,'Human Time Log'!$B$4:$B$503,$B44,'Human Time Log'!$D$4:$D$503,"Analysis &amp; Prompting"))</x:f>
      </x:c>
      <x:c r="F44" s="138" t="str">
        <x:f>IF(OR($A44="",$B44=""),"",SUMIFS('Human Time Log'!$H$4:$H$503,'Human Time Log'!$A$4:$A$503,$A44,'Human Time Log'!$B$4:$B$503,$B44,'Human Time Log'!$D$4:$D$503,"Agent Supervision"))</x:f>
      </x:c>
      <x:c r="G44" s="138" t="str">
        <x:f>IF(OR($A44="",$B44=""),"",SUMIFS('Human Time Log'!$H$4:$H$503,'Human Time Log'!$A$4:$A$503,$A44,'Human Time Log'!$B$4:$B$503,$B44,'Human Time Log'!$D$4:$D$503,"Human Review"))</x:f>
      </x:c>
      <x:c r="H44" s="138" t="str">
        <x:f>IF(OR($A44="",$B44=""),"",SUMIFS('Human Time Log'!$H$4:$H$503,'Human Time Log'!$A$4:$A$503,$A44,'Human Time Log'!$B$4:$B$503,$B44,'Human Time Log'!$D$4:$D$503,"Testing / Acceptance"))</x:f>
      </x:c>
      <x:c r="I44" s="138" t="str">
        <x:f>IF(OR($A44="",$B44=""),"",SUMIFS('Human Time Log'!$H$4:$H$503,'Human Time Log'!$A$4:$A$503,$A44,'Human Time Log'!$B$4:$B$503,$B44,'Human Time Log'!$D$4:$D$503,"Fix / Rework"))</x:f>
      </x:c>
      <x:c r="J44" s="138" t="str">
        <x:f>IF(OR($A44="",$B44=""),"",SUMIFS('Human Time Log'!$H$4:$H$503,'Human Time Log'!$A$4:$A$503,$A44,'Human Time Log'!$B$4:$B$503,$B44,'Human Time Log'!$D$4:$D$503,"Integration / Deployment"))</x:f>
      </x:c>
      <x:c r="K44" s="138" t="str">
        <x:f>IF(OR($A44="",$B44=""),"",SUMIFS('Human Time Log'!$H$4:$H$503,'Human Time Log'!$A$4:$A$503,$A44,'Human Time Log'!$B$4:$B$503,$B44,'Human Time Log'!$D$4:$D$503,"PM / Documentation"))</x:f>
      </x:c>
      <x:c r="L44" s="138" t="str">
        <x:f>IF(OR($A44="",$B44=""),"",SUMIFS('Human Time Log'!$H$4:$H$503,'Human Time Log'!$A$4:$A$503,$A44,'Human Time Log'!$B$4:$B$503,$B44,'Human Time Log'!$D$4:$D$503,"Meeting")+SUMIFS('Human Time Log'!$H$4:$H$503,'Human Time Log'!$A$4:$A$503,$A44,'Human Time Log'!$B$4:$B$503,$B44,'Human Time Log'!$D$4:$D$503,"Other"))</x:f>
      </x:c>
      <x:c r="M44" s="138" t="str">
        <x:f>IF(OR(C44="",D44=""),"",D44-C44)</x:f>
      </x:c>
      <x:c r="N44" s="141"/>
    </x:row>
    <x:row r="45">
      <x:c r="A45" s="139"/>
      <x:c r="B45" s="117"/>
      <x:c r="C45" s="160"/>
      <x:c r="D45" s="138" t="str">
        <x:f>IF(OR(A45="",B45=""),"",SUMIFS('Human Time Log'!$H$4:$H$503,'Human Time Log'!$A$4:$A$503,A45,'Human Time Log'!$B$4:$B$503,B45))</x:f>
      </x:c>
      <x:c r="E45" s="138" t="str">
        <x:f>IF(OR($A45="",$B45=""),"",SUMIFS('Human Time Log'!$H$4:$H$503,'Human Time Log'!$A$4:$A$503,$A45,'Human Time Log'!$B$4:$B$503,$B45,'Human Time Log'!$D$4:$D$503,"Analysis &amp; Prompting"))</x:f>
      </x:c>
      <x:c r="F45" s="138" t="str">
        <x:f>IF(OR($A45="",$B45=""),"",SUMIFS('Human Time Log'!$H$4:$H$503,'Human Time Log'!$A$4:$A$503,$A45,'Human Time Log'!$B$4:$B$503,$B45,'Human Time Log'!$D$4:$D$503,"Agent Supervision"))</x:f>
      </x:c>
      <x:c r="G45" s="138" t="str">
        <x:f>IF(OR($A45="",$B45=""),"",SUMIFS('Human Time Log'!$H$4:$H$503,'Human Time Log'!$A$4:$A$503,$A45,'Human Time Log'!$B$4:$B$503,$B45,'Human Time Log'!$D$4:$D$503,"Human Review"))</x:f>
      </x:c>
      <x:c r="H45" s="138" t="str">
        <x:f>IF(OR($A45="",$B45=""),"",SUMIFS('Human Time Log'!$H$4:$H$503,'Human Time Log'!$A$4:$A$503,$A45,'Human Time Log'!$B$4:$B$503,$B45,'Human Time Log'!$D$4:$D$503,"Testing / Acceptance"))</x:f>
      </x:c>
      <x:c r="I45" s="138" t="str">
        <x:f>IF(OR($A45="",$B45=""),"",SUMIFS('Human Time Log'!$H$4:$H$503,'Human Time Log'!$A$4:$A$503,$A45,'Human Time Log'!$B$4:$B$503,$B45,'Human Time Log'!$D$4:$D$503,"Fix / Rework"))</x:f>
      </x:c>
      <x:c r="J45" s="138" t="str">
        <x:f>IF(OR($A45="",$B45=""),"",SUMIFS('Human Time Log'!$H$4:$H$503,'Human Time Log'!$A$4:$A$503,$A45,'Human Time Log'!$B$4:$B$503,$B45,'Human Time Log'!$D$4:$D$503,"Integration / Deployment"))</x:f>
      </x:c>
      <x:c r="K45" s="138" t="str">
        <x:f>IF(OR($A45="",$B45=""),"",SUMIFS('Human Time Log'!$H$4:$H$503,'Human Time Log'!$A$4:$A$503,$A45,'Human Time Log'!$B$4:$B$503,$B45,'Human Time Log'!$D$4:$D$503,"PM / Documentation"))</x:f>
      </x:c>
      <x:c r="L45" s="138" t="str">
        <x:f>IF(OR($A45="",$B45=""),"",SUMIFS('Human Time Log'!$H$4:$H$503,'Human Time Log'!$A$4:$A$503,$A45,'Human Time Log'!$B$4:$B$503,$B45,'Human Time Log'!$D$4:$D$503,"Meeting")+SUMIFS('Human Time Log'!$H$4:$H$503,'Human Time Log'!$A$4:$A$503,$A45,'Human Time Log'!$B$4:$B$503,$B45,'Human Time Log'!$D$4:$D$503,"Other"))</x:f>
      </x:c>
      <x:c r="M45" s="138" t="str">
        <x:f>IF(OR(C45="",D45=""),"",D45-C45)</x:f>
      </x:c>
      <x:c r="N45" s="141"/>
    </x:row>
    <x:row r="46">
      <x:c r="A46" s="139"/>
      <x:c r="B46" s="117"/>
      <x:c r="C46" s="160"/>
      <x:c r="D46" s="138" t="str">
        <x:f>IF(OR(A46="",B46=""),"",SUMIFS('Human Time Log'!$H$4:$H$503,'Human Time Log'!$A$4:$A$503,A46,'Human Time Log'!$B$4:$B$503,B46))</x:f>
      </x:c>
      <x:c r="E46" s="138" t="str">
        <x:f>IF(OR($A46="",$B46=""),"",SUMIFS('Human Time Log'!$H$4:$H$503,'Human Time Log'!$A$4:$A$503,$A46,'Human Time Log'!$B$4:$B$503,$B46,'Human Time Log'!$D$4:$D$503,"Analysis &amp; Prompting"))</x:f>
      </x:c>
      <x:c r="F46" s="138" t="str">
        <x:f>IF(OR($A46="",$B46=""),"",SUMIFS('Human Time Log'!$H$4:$H$503,'Human Time Log'!$A$4:$A$503,$A46,'Human Time Log'!$B$4:$B$503,$B46,'Human Time Log'!$D$4:$D$503,"Agent Supervision"))</x:f>
      </x:c>
      <x:c r="G46" s="138" t="str">
        <x:f>IF(OR($A46="",$B46=""),"",SUMIFS('Human Time Log'!$H$4:$H$503,'Human Time Log'!$A$4:$A$503,$A46,'Human Time Log'!$B$4:$B$503,$B46,'Human Time Log'!$D$4:$D$503,"Human Review"))</x:f>
      </x:c>
      <x:c r="H46" s="138" t="str">
        <x:f>IF(OR($A46="",$B46=""),"",SUMIFS('Human Time Log'!$H$4:$H$503,'Human Time Log'!$A$4:$A$503,$A46,'Human Time Log'!$B$4:$B$503,$B46,'Human Time Log'!$D$4:$D$503,"Testing / Acceptance"))</x:f>
      </x:c>
      <x:c r="I46" s="138" t="str">
        <x:f>IF(OR($A46="",$B46=""),"",SUMIFS('Human Time Log'!$H$4:$H$503,'Human Time Log'!$A$4:$A$503,$A46,'Human Time Log'!$B$4:$B$503,$B46,'Human Time Log'!$D$4:$D$503,"Fix / Rework"))</x:f>
      </x:c>
      <x:c r="J46" s="138" t="str">
        <x:f>IF(OR($A46="",$B46=""),"",SUMIFS('Human Time Log'!$H$4:$H$503,'Human Time Log'!$A$4:$A$503,$A46,'Human Time Log'!$B$4:$B$503,$B46,'Human Time Log'!$D$4:$D$503,"Integration / Deployment"))</x:f>
      </x:c>
      <x:c r="K46" s="138" t="str">
        <x:f>IF(OR($A46="",$B46=""),"",SUMIFS('Human Time Log'!$H$4:$H$503,'Human Time Log'!$A$4:$A$503,$A46,'Human Time Log'!$B$4:$B$503,$B46,'Human Time Log'!$D$4:$D$503,"PM / Documentation"))</x:f>
      </x:c>
      <x:c r="L46" s="138" t="str">
        <x:f>IF(OR($A46="",$B46=""),"",SUMIFS('Human Time Log'!$H$4:$H$503,'Human Time Log'!$A$4:$A$503,$A46,'Human Time Log'!$B$4:$B$503,$B46,'Human Time Log'!$D$4:$D$503,"Meeting")+SUMIFS('Human Time Log'!$H$4:$H$503,'Human Time Log'!$A$4:$A$503,$A46,'Human Time Log'!$B$4:$B$503,$B46,'Human Time Log'!$D$4:$D$503,"Other"))</x:f>
      </x:c>
      <x:c r="M46" s="138" t="str">
        <x:f>IF(OR(C46="",D46=""),"",D46-C46)</x:f>
      </x:c>
      <x:c r="N46" s="141"/>
    </x:row>
    <x:row r="47">
      <x:c r="A47" s="139"/>
      <x:c r="B47" s="117"/>
      <x:c r="C47" s="160"/>
      <x:c r="D47" s="138" t="str">
        <x:f>IF(OR(A47="",B47=""),"",SUMIFS('Human Time Log'!$H$4:$H$503,'Human Time Log'!$A$4:$A$503,A47,'Human Time Log'!$B$4:$B$503,B47))</x:f>
      </x:c>
      <x:c r="E47" s="138" t="str">
        <x:f>IF(OR($A47="",$B47=""),"",SUMIFS('Human Time Log'!$H$4:$H$503,'Human Time Log'!$A$4:$A$503,$A47,'Human Time Log'!$B$4:$B$503,$B47,'Human Time Log'!$D$4:$D$503,"Analysis &amp; Prompting"))</x:f>
      </x:c>
      <x:c r="F47" s="138" t="str">
        <x:f>IF(OR($A47="",$B47=""),"",SUMIFS('Human Time Log'!$H$4:$H$503,'Human Time Log'!$A$4:$A$503,$A47,'Human Time Log'!$B$4:$B$503,$B47,'Human Time Log'!$D$4:$D$503,"Agent Supervision"))</x:f>
      </x:c>
      <x:c r="G47" s="138" t="str">
        <x:f>IF(OR($A47="",$B47=""),"",SUMIFS('Human Time Log'!$H$4:$H$503,'Human Time Log'!$A$4:$A$503,$A47,'Human Time Log'!$B$4:$B$503,$B47,'Human Time Log'!$D$4:$D$503,"Human Review"))</x:f>
      </x:c>
      <x:c r="H47" s="138" t="str">
        <x:f>IF(OR($A47="",$B47=""),"",SUMIFS('Human Time Log'!$H$4:$H$503,'Human Time Log'!$A$4:$A$503,$A47,'Human Time Log'!$B$4:$B$503,$B47,'Human Time Log'!$D$4:$D$503,"Testing / Acceptance"))</x:f>
      </x:c>
      <x:c r="I47" s="138" t="str">
        <x:f>IF(OR($A47="",$B47=""),"",SUMIFS('Human Time Log'!$H$4:$H$503,'Human Time Log'!$A$4:$A$503,$A47,'Human Time Log'!$B$4:$B$503,$B47,'Human Time Log'!$D$4:$D$503,"Fix / Rework"))</x:f>
      </x:c>
      <x:c r="J47" s="138" t="str">
        <x:f>IF(OR($A47="",$B47=""),"",SUMIFS('Human Time Log'!$H$4:$H$503,'Human Time Log'!$A$4:$A$503,$A47,'Human Time Log'!$B$4:$B$503,$B47,'Human Time Log'!$D$4:$D$503,"Integration / Deployment"))</x:f>
      </x:c>
      <x:c r="K47" s="138" t="str">
        <x:f>IF(OR($A47="",$B47=""),"",SUMIFS('Human Time Log'!$H$4:$H$503,'Human Time Log'!$A$4:$A$503,$A47,'Human Time Log'!$B$4:$B$503,$B47,'Human Time Log'!$D$4:$D$503,"PM / Documentation"))</x:f>
      </x:c>
      <x:c r="L47" s="138" t="str">
        <x:f>IF(OR($A47="",$B47=""),"",SUMIFS('Human Time Log'!$H$4:$H$503,'Human Time Log'!$A$4:$A$503,$A47,'Human Time Log'!$B$4:$B$503,$B47,'Human Time Log'!$D$4:$D$503,"Meeting")+SUMIFS('Human Time Log'!$H$4:$H$503,'Human Time Log'!$A$4:$A$503,$A47,'Human Time Log'!$B$4:$B$503,$B47,'Human Time Log'!$D$4:$D$503,"Other"))</x:f>
      </x:c>
      <x:c r="M47" s="138" t="str">
        <x:f>IF(OR(C47="",D47=""),"",D47-C47)</x:f>
      </x:c>
      <x:c r="N47" s="141"/>
    </x:row>
    <x:row r="48">
      <x:c r="A48" s="139"/>
      <x:c r="B48" s="117"/>
      <x:c r="C48" s="160"/>
      <x:c r="D48" s="138" t="str">
        <x:f>IF(OR(A48="",B48=""),"",SUMIFS('Human Time Log'!$H$4:$H$503,'Human Time Log'!$A$4:$A$503,A48,'Human Time Log'!$B$4:$B$503,B48))</x:f>
      </x:c>
      <x:c r="E48" s="138" t="str">
        <x:f>IF(OR($A48="",$B48=""),"",SUMIFS('Human Time Log'!$H$4:$H$503,'Human Time Log'!$A$4:$A$503,$A48,'Human Time Log'!$B$4:$B$503,$B48,'Human Time Log'!$D$4:$D$503,"Analysis &amp; Prompting"))</x:f>
      </x:c>
      <x:c r="F48" s="138" t="str">
        <x:f>IF(OR($A48="",$B48=""),"",SUMIFS('Human Time Log'!$H$4:$H$503,'Human Time Log'!$A$4:$A$503,$A48,'Human Time Log'!$B$4:$B$503,$B48,'Human Time Log'!$D$4:$D$503,"Agent Supervision"))</x:f>
      </x:c>
      <x:c r="G48" s="138" t="str">
        <x:f>IF(OR($A48="",$B48=""),"",SUMIFS('Human Time Log'!$H$4:$H$503,'Human Time Log'!$A$4:$A$503,$A48,'Human Time Log'!$B$4:$B$503,$B48,'Human Time Log'!$D$4:$D$503,"Human Review"))</x:f>
      </x:c>
      <x:c r="H48" s="138" t="str">
        <x:f>IF(OR($A48="",$B48=""),"",SUMIFS('Human Time Log'!$H$4:$H$503,'Human Time Log'!$A$4:$A$503,$A48,'Human Time Log'!$B$4:$B$503,$B48,'Human Time Log'!$D$4:$D$503,"Testing / Acceptance"))</x:f>
      </x:c>
      <x:c r="I48" s="138" t="str">
        <x:f>IF(OR($A48="",$B48=""),"",SUMIFS('Human Time Log'!$H$4:$H$503,'Human Time Log'!$A$4:$A$503,$A48,'Human Time Log'!$B$4:$B$503,$B48,'Human Time Log'!$D$4:$D$503,"Fix / Rework"))</x:f>
      </x:c>
      <x:c r="J48" s="138" t="str">
        <x:f>IF(OR($A48="",$B48=""),"",SUMIFS('Human Time Log'!$H$4:$H$503,'Human Time Log'!$A$4:$A$503,$A48,'Human Time Log'!$B$4:$B$503,$B48,'Human Time Log'!$D$4:$D$503,"Integration / Deployment"))</x:f>
      </x:c>
      <x:c r="K48" s="138" t="str">
        <x:f>IF(OR($A48="",$B48=""),"",SUMIFS('Human Time Log'!$H$4:$H$503,'Human Time Log'!$A$4:$A$503,$A48,'Human Time Log'!$B$4:$B$503,$B48,'Human Time Log'!$D$4:$D$503,"PM / Documentation"))</x:f>
      </x:c>
      <x:c r="L48" s="138" t="str">
        <x:f>IF(OR($A48="",$B48=""),"",SUMIFS('Human Time Log'!$H$4:$H$503,'Human Time Log'!$A$4:$A$503,$A48,'Human Time Log'!$B$4:$B$503,$B48,'Human Time Log'!$D$4:$D$503,"Meeting")+SUMIFS('Human Time Log'!$H$4:$H$503,'Human Time Log'!$A$4:$A$503,$A48,'Human Time Log'!$B$4:$B$503,$B48,'Human Time Log'!$D$4:$D$503,"Other"))</x:f>
      </x:c>
      <x:c r="M48" s="138" t="str">
        <x:f>IF(OR(C48="",D48=""),"",D48-C48)</x:f>
      </x:c>
      <x:c r="N48" s="141"/>
    </x:row>
    <x:row r="49">
      <x:c r="A49" s="139"/>
      <x:c r="B49" s="117"/>
      <x:c r="C49" s="160"/>
      <x:c r="D49" s="138" t="str">
        <x:f>IF(OR(A49="",B49=""),"",SUMIFS('Human Time Log'!$H$4:$H$503,'Human Time Log'!$A$4:$A$503,A49,'Human Time Log'!$B$4:$B$503,B49))</x:f>
      </x:c>
      <x:c r="E49" s="138" t="str">
        <x:f>IF(OR($A49="",$B49=""),"",SUMIFS('Human Time Log'!$H$4:$H$503,'Human Time Log'!$A$4:$A$503,$A49,'Human Time Log'!$B$4:$B$503,$B49,'Human Time Log'!$D$4:$D$503,"Analysis &amp; Prompting"))</x:f>
      </x:c>
      <x:c r="F49" s="138" t="str">
        <x:f>IF(OR($A49="",$B49=""),"",SUMIFS('Human Time Log'!$H$4:$H$503,'Human Time Log'!$A$4:$A$503,$A49,'Human Time Log'!$B$4:$B$503,$B49,'Human Time Log'!$D$4:$D$503,"Agent Supervision"))</x:f>
      </x:c>
      <x:c r="G49" s="138" t="str">
        <x:f>IF(OR($A49="",$B49=""),"",SUMIFS('Human Time Log'!$H$4:$H$503,'Human Time Log'!$A$4:$A$503,$A49,'Human Time Log'!$B$4:$B$503,$B49,'Human Time Log'!$D$4:$D$503,"Human Review"))</x:f>
      </x:c>
      <x:c r="H49" s="138" t="str">
        <x:f>IF(OR($A49="",$B49=""),"",SUMIFS('Human Time Log'!$H$4:$H$503,'Human Time Log'!$A$4:$A$503,$A49,'Human Time Log'!$B$4:$B$503,$B49,'Human Time Log'!$D$4:$D$503,"Testing / Acceptance"))</x:f>
      </x:c>
      <x:c r="I49" s="138" t="str">
        <x:f>IF(OR($A49="",$B49=""),"",SUMIFS('Human Time Log'!$H$4:$H$503,'Human Time Log'!$A$4:$A$503,$A49,'Human Time Log'!$B$4:$B$503,$B49,'Human Time Log'!$D$4:$D$503,"Fix / Rework"))</x:f>
      </x:c>
      <x:c r="J49" s="138" t="str">
        <x:f>IF(OR($A49="",$B49=""),"",SUMIFS('Human Time Log'!$H$4:$H$503,'Human Time Log'!$A$4:$A$503,$A49,'Human Time Log'!$B$4:$B$503,$B49,'Human Time Log'!$D$4:$D$503,"Integration / Deployment"))</x:f>
      </x:c>
      <x:c r="K49" s="138" t="str">
        <x:f>IF(OR($A49="",$B49=""),"",SUMIFS('Human Time Log'!$H$4:$H$503,'Human Time Log'!$A$4:$A$503,$A49,'Human Time Log'!$B$4:$B$503,$B49,'Human Time Log'!$D$4:$D$503,"PM / Documentation"))</x:f>
      </x:c>
      <x:c r="L49" s="138" t="str">
        <x:f>IF(OR($A49="",$B49=""),"",SUMIFS('Human Time Log'!$H$4:$H$503,'Human Time Log'!$A$4:$A$503,$A49,'Human Time Log'!$B$4:$B$503,$B49,'Human Time Log'!$D$4:$D$503,"Meeting")+SUMIFS('Human Time Log'!$H$4:$H$503,'Human Time Log'!$A$4:$A$503,$A49,'Human Time Log'!$B$4:$B$503,$B49,'Human Time Log'!$D$4:$D$503,"Other"))</x:f>
      </x:c>
      <x:c r="M49" s="138" t="str">
        <x:f>IF(OR(C49="",D49=""),"",D49-C49)</x:f>
      </x:c>
      <x:c r="N49" s="141"/>
    </x:row>
    <x:row r="50">
      <x:c r="A50" s="139"/>
      <x:c r="B50" s="117"/>
      <x:c r="C50" s="160"/>
      <x:c r="D50" s="138" t="str">
        <x:f>IF(OR(A50="",B50=""),"",SUMIFS('Human Time Log'!$H$4:$H$503,'Human Time Log'!$A$4:$A$503,A50,'Human Time Log'!$B$4:$B$503,B50))</x:f>
      </x:c>
      <x:c r="E50" s="138" t="str">
        <x:f>IF(OR($A50="",$B50=""),"",SUMIFS('Human Time Log'!$H$4:$H$503,'Human Time Log'!$A$4:$A$503,$A50,'Human Time Log'!$B$4:$B$503,$B50,'Human Time Log'!$D$4:$D$503,"Analysis &amp; Prompting"))</x:f>
      </x:c>
      <x:c r="F50" s="138" t="str">
        <x:f>IF(OR($A50="",$B50=""),"",SUMIFS('Human Time Log'!$H$4:$H$503,'Human Time Log'!$A$4:$A$503,$A50,'Human Time Log'!$B$4:$B$503,$B50,'Human Time Log'!$D$4:$D$503,"Agent Supervision"))</x:f>
      </x:c>
      <x:c r="G50" s="138" t="str">
        <x:f>IF(OR($A50="",$B50=""),"",SUMIFS('Human Time Log'!$H$4:$H$503,'Human Time Log'!$A$4:$A$503,$A50,'Human Time Log'!$B$4:$B$503,$B50,'Human Time Log'!$D$4:$D$503,"Human Review"))</x:f>
      </x:c>
      <x:c r="H50" s="138" t="str">
        <x:f>IF(OR($A50="",$B50=""),"",SUMIFS('Human Time Log'!$H$4:$H$503,'Human Time Log'!$A$4:$A$503,$A50,'Human Time Log'!$B$4:$B$503,$B50,'Human Time Log'!$D$4:$D$503,"Testing / Acceptance"))</x:f>
      </x:c>
      <x:c r="I50" s="138" t="str">
        <x:f>IF(OR($A50="",$B50=""),"",SUMIFS('Human Time Log'!$H$4:$H$503,'Human Time Log'!$A$4:$A$503,$A50,'Human Time Log'!$B$4:$B$503,$B50,'Human Time Log'!$D$4:$D$503,"Fix / Rework"))</x:f>
      </x:c>
      <x:c r="J50" s="138" t="str">
        <x:f>IF(OR($A50="",$B50=""),"",SUMIFS('Human Time Log'!$H$4:$H$503,'Human Time Log'!$A$4:$A$503,$A50,'Human Time Log'!$B$4:$B$503,$B50,'Human Time Log'!$D$4:$D$503,"Integration / Deployment"))</x:f>
      </x:c>
      <x:c r="K50" s="138" t="str">
        <x:f>IF(OR($A50="",$B50=""),"",SUMIFS('Human Time Log'!$H$4:$H$503,'Human Time Log'!$A$4:$A$503,$A50,'Human Time Log'!$B$4:$B$503,$B50,'Human Time Log'!$D$4:$D$503,"PM / Documentation"))</x:f>
      </x:c>
      <x:c r="L50" s="138" t="str">
        <x:f>IF(OR($A50="",$B50=""),"",SUMIFS('Human Time Log'!$H$4:$H$503,'Human Time Log'!$A$4:$A$503,$A50,'Human Time Log'!$B$4:$B$503,$B50,'Human Time Log'!$D$4:$D$503,"Meeting")+SUMIFS('Human Time Log'!$H$4:$H$503,'Human Time Log'!$A$4:$A$503,$A50,'Human Time Log'!$B$4:$B$503,$B50,'Human Time Log'!$D$4:$D$503,"Other"))</x:f>
      </x:c>
      <x:c r="M50" s="138" t="str">
        <x:f>IF(OR(C50="",D50=""),"",D50-C50)</x:f>
      </x:c>
      <x:c r="N50" s="141"/>
    </x:row>
    <x:row r="51">
      <x:c r="A51" s="139"/>
      <x:c r="B51" s="117"/>
      <x:c r="C51" s="160"/>
      <x:c r="D51" s="138" t="str">
        <x:f>IF(OR(A51="",B51=""),"",SUMIFS('Human Time Log'!$H$4:$H$503,'Human Time Log'!$A$4:$A$503,A51,'Human Time Log'!$B$4:$B$503,B51))</x:f>
      </x:c>
      <x:c r="E51" s="138" t="str">
        <x:f>IF(OR($A51="",$B51=""),"",SUMIFS('Human Time Log'!$H$4:$H$503,'Human Time Log'!$A$4:$A$503,$A51,'Human Time Log'!$B$4:$B$503,$B51,'Human Time Log'!$D$4:$D$503,"Analysis &amp; Prompting"))</x:f>
      </x:c>
      <x:c r="F51" s="138" t="str">
        <x:f>IF(OR($A51="",$B51=""),"",SUMIFS('Human Time Log'!$H$4:$H$503,'Human Time Log'!$A$4:$A$503,$A51,'Human Time Log'!$B$4:$B$503,$B51,'Human Time Log'!$D$4:$D$503,"Agent Supervision"))</x:f>
      </x:c>
      <x:c r="G51" s="138" t="str">
        <x:f>IF(OR($A51="",$B51=""),"",SUMIFS('Human Time Log'!$H$4:$H$503,'Human Time Log'!$A$4:$A$503,$A51,'Human Time Log'!$B$4:$B$503,$B51,'Human Time Log'!$D$4:$D$503,"Human Review"))</x:f>
      </x:c>
      <x:c r="H51" s="138" t="str">
        <x:f>IF(OR($A51="",$B51=""),"",SUMIFS('Human Time Log'!$H$4:$H$503,'Human Time Log'!$A$4:$A$503,$A51,'Human Time Log'!$B$4:$B$503,$B51,'Human Time Log'!$D$4:$D$503,"Testing / Acceptance"))</x:f>
      </x:c>
      <x:c r="I51" s="138" t="str">
        <x:f>IF(OR($A51="",$B51=""),"",SUMIFS('Human Time Log'!$H$4:$H$503,'Human Time Log'!$A$4:$A$503,$A51,'Human Time Log'!$B$4:$B$503,$B51,'Human Time Log'!$D$4:$D$503,"Fix / Rework"))</x:f>
      </x:c>
      <x:c r="J51" s="138" t="str">
        <x:f>IF(OR($A51="",$B51=""),"",SUMIFS('Human Time Log'!$H$4:$H$503,'Human Time Log'!$A$4:$A$503,$A51,'Human Time Log'!$B$4:$B$503,$B51,'Human Time Log'!$D$4:$D$503,"Integration / Deployment"))</x:f>
      </x:c>
      <x:c r="K51" s="138" t="str">
        <x:f>IF(OR($A51="",$B51=""),"",SUMIFS('Human Time Log'!$H$4:$H$503,'Human Time Log'!$A$4:$A$503,$A51,'Human Time Log'!$B$4:$B$503,$B51,'Human Time Log'!$D$4:$D$503,"PM / Documentation"))</x:f>
      </x:c>
      <x:c r="L51" s="138" t="str">
        <x:f>IF(OR($A51="",$B51=""),"",SUMIFS('Human Time Log'!$H$4:$H$503,'Human Time Log'!$A$4:$A$503,$A51,'Human Time Log'!$B$4:$B$503,$B51,'Human Time Log'!$D$4:$D$503,"Meeting")+SUMIFS('Human Time Log'!$H$4:$H$503,'Human Time Log'!$A$4:$A$503,$A51,'Human Time Log'!$B$4:$B$503,$B51,'Human Time Log'!$D$4:$D$503,"Other"))</x:f>
      </x:c>
      <x:c r="M51" s="138" t="str">
        <x:f>IF(OR(C51="",D51=""),"",D51-C51)</x:f>
      </x:c>
      <x:c r="N51" s="141"/>
    </x:row>
    <x:row r="52">
      <x:c r="A52" s="139"/>
      <x:c r="B52" s="117"/>
      <x:c r="C52" s="160"/>
      <x:c r="D52" s="138" t="str">
        <x:f>IF(OR(A52="",B52=""),"",SUMIFS('Human Time Log'!$H$4:$H$503,'Human Time Log'!$A$4:$A$503,A52,'Human Time Log'!$B$4:$B$503,B52))</x:f>
      </x:c>
      <x:c r="E52" s="138" t="str">
        <x:f>IF(OR($A52="",$B52=""),"",SUMIFS('Human Time Log'!$H$4:$H$503,'Human Time Log'!$A$4:$A$503,$A52,'Human Time Log'!$B$4:$B$503,$B52,'Human Time Log'!$D$4:$D$503,"Analysis &amp; Prompting"))</x:f>
      </x:c>
      <x:c r="F52" s="138" t="str">
        <x:f>IF(OR($A52="",$B52=""),"",SUMIFS('Human Time Log'!$H$4:$H$503,'Human Time Log'!$A$4:$A$503,$A52,'Human Time Log'!$B$4:$B$503,$B52,'Human Time Log'!$D$4:$D$503,"Agent Supervision"))</x:f>
      </x:c>
      <x:c r="G52" s="138" t="str">
        <x:f>IF(OR($A52="",$B52=""),"",SUMIFS('Human Time Log'!$H$4:$H$503,'Human Time Log'!$A$4:$A$503,$A52,'Human Time Log'!$B$4:$B$503,$B52,'Human Time Log'!$D$4:$D$503,"Human Review"))</x:f>
      </x:c>
      <x:c r="H52" s="138" t="str">
        <x:f>IF(OR($A52="",$B52=""),"",SUMIFS('Human Time Log'!$H$4:$H$503,'Human Time Log'!$A$4:$A$503,$A52,'Human Time Log'!$B$4:$B$503,$B52,'Human Time Log'!$D$4:$D$503,"Testing / Acceptance"))</x:f>
      </x:c>
      <x:c r="I52" s="138" t="str">
        <x:f>IF(OR($A52="",$B52=""),"",SUMIFS('Human Time Log'!$H$4:$H$503,'Human Time Log'!$A$4:$A$503,$A52,'Human Time Log'!$B$4:$B$503,$B52,'Human Time Log'!$D$4:$D$503,"Fix / Rework"))</x:f>
      </x:c>
      <x:c r="J52" s="138" t="str">
        <x:f>IF(OR($A52="",$B52=""),"",SUMIFS('Human Time Log'!$H$4:$H$503,'Human Time Log'!$A$4:$A$503,$A52,'Human Time Log'!$B$4:$B$503,$B52,'Human Time Log'!$D$4:$D$503,"Integration / Deployment"))</x:f>
      </x:c>
      <x:c r="K52" s="138" t="str">
        <x:f>IF(OR($A52="",$B52=""),"",SUMIFS('Human Time Log'!$H$4:$H$503,'Human Time Log'!$A$4:$A$503,$A52,'Human Time Log'!$B$4:$B$503,$B52,'Human Time Log'!$D$4:$D$503,"PM / Documentation"))</x:f>
      </x:c>
      <x:c r="L52" s="138" t="str">
        <x:f>IF(OR($A52="",$B52=""),"",SUMIFS('Human Time Log'!$H$4:$H$503,'Human Time Log'!$A$4:$A$503,$A52,'Human Time Log'!$B$4:$B$503,$B52,'Human Time Log'!$D$4:$D$503,"Meeting")+SUMIFS('Human Time Log'!$H$4:$H$503,'Human Time Log'!$A$4:$A$503,$A52,'Human Time Log'!$B$4:$B$503,$B52,'Human Time Log'!$D$4:$D$503,"Other"))</x:f>
      </x:c>
      <x:c r="M52" s="138" t="str">
        <x:f>IF(OR(C52="",D52=""),"",D52-C52)</x:f>
      </x:c>
      <x:c r="N52" s="141"/>
    </x:row>
    <x:row r="53">
      <x:c r="A53" s="139"/>
      <x:c r="B53" s="117"/>
      <x:c r="C53" s="160"/>
      <x:c r="D53" s="138" t="str">
        <x:f>IF(OR(A53="",B53=""),"",SUMIFS('Human Time Log'!$H$4:$H$503,'Human Time Log'!$A$4:$A$503,A53,'Human Time Log'!$B$4:$B$503,B53))</x:f>
      </x:c>
      <x:c r="E53" s="138" t="str">
        <x:f>IF(OR($A53="",$B53=""),"",SUMIFS('Human Time Log'!$H$4:$H$503,'Human Time Log'!$A$4:$A$503,$A53,'Human Time Log'!$B$4:$B$503,$B53,'Human Time Log'!$D$4:$D$503,"Analysis &amp; Prompting"))</x:f>
      </x:c>
      <x:c r="F53" s="138" t="str">
        <x:f>IF(OR($A53="",$B53=""),"",SUMIFS('Human Time Log'!$H$4:$H$503,'Human Time Log'!$A$4:$A$503,$A53,'Human Time Log'!$B$4:$B$503,$B53,'Human Time Log'!$D$4:$D$503,"Agent Supervision"))</x:f>
      </x:c>
      <x:c r="G53" s="138" t="str">
        <x:f>IF(OR($A53="",$B53=""),"",SUMIFS('Human Time Log'!$H$4:$H$503,'Human Time Log'!$A$4:$A$503,$A53,'Human Time Log'!$B$4:$B$503,$B53,'Human Time Log'!$D$4:$D$503,"Human Review"))</x:f>
      </x:c>
      <x:c r="H53" s="138" t="str">
        <x:f>IF(OR($A53="",$B53=""),"",SUMIFS('Human Time Log'!$H$4:$H$503,'Human Time Log'!$A$4:$A$503,$A53,'Human Time Log'!$B$4:$B$503,$B53,'Human Time Log'!$D$4:$D$503,"Testing / Acceptance"))</x:f>
      </x:c>
      <x:c r="I53" s="138" t="str">
        <x:f>IF(OR($A53="",$B53=""),"",SUMIFS('Human Time Log'!$H$4:$H$503,'Human Time Log'!$A$4:$A$503,$A53,'Human Time Log'!$B$4:$B$503,$B53,'Human Time Log'!$D$4:$D$503,"Fix / Rework"))</x:f>
      </x:c>
      <x:c r="J53" s="138" t="str">
        <x:f>IF(OR($A53="",$B53=""),"",SUMIFS('Human Time Log'!$H$4:$H$503,'Human Time Log'!$A$4:$A$503,$A53,'Human Time Log'!$B$4:$B$503,$B53,'Human Time Log'!$D$4:$D$503,"Integration / Deployment"))</x:f>
      </x:c>
      <x:c r="K53" s="138" t="str">
        <x:f>IF(OR($A53="",$B53=""),"",SUMIFS('Human Time Log'!$H$4:$H$503,'Human Time Log'!$A$4:$A$503,$A53,'Human Time Log'!$B$4:$B$503,$B53,'Human Time Log'!$D$4:$D$503,"PM / Documentation"))</x:f>
      </x:c>
      <x:c r="L53" s="138" t="str">
        <x:f>IF(OR($A53="",$B53=""),"",SUMIFS('Human Time Log'!$H$4:$H$503,'Human Time Log'!$A$4:$A$503,$A53,'Human Time Log'!$B$4:$B$503,$B53,'Human Time Log'!$D$4:$D$503,"Meeting")+SUMIFS('Human Time Log'!$H$4:$H$503,'Human Time Log'!$A$4:$A$503,$A53,'Human Time Log'!$B$4:$B$503,$B53,'Human Time Log'!$D$4:$D$503,"Other"))</x:f>
      </x:c>
      <x:c r="M53" s="138" t="str">
        <x:f>IF(OR(C53="",D53=""),"",D53-C53)</x:f>
      </x:c>
      <x:c r="N53" s="141"/>
    </x:row>
    <x:row r="54">
      <x:c r="A54" s="139"/>
      <x:c r="B54" s="117"/>
      <x:c r="C54" s="160"/>
      <x:c r="D54" s="138" t="str">
        <x:f>IF(OR(A54="",B54=""),"",SUMIFS('Human Time Log'!$H$4:$H$503,'Human Time Log'!$A$4:$A$503,A54,'Human Time Log'!$B$4:$B$503,B54))</x:f>
      </x:c>
      <x:c r="E54" s="138" t="str">
        <x:f>IF(OR($A54="",$B54=""),"",SUMIFS('Human Time Log'!$H$4:$H$503,'Human Time Log'!$A$4:$A$503,$A54,'Human Time Log'!$B$4:$B$503,$B54,'Human Time Log'!$D$4:$D$503,"Analysis &amp; Prompting"))</x:f>
      </x:c>
      <x:c r="F54" s="138" t="str">
        <x:f>IF(OR($A54="",$B54=""),"",SUMIFS('Human Time Log'!$H$4:$H$503,'Human Time Log'!$A$4:$A$503,$A54,'Human Time Log'!$B$4:$B$503,$B54,'Human Time Log'!$D$4:$D$503,"Agent Supervision"))</x:f>
      </x:c>
      <x:c r="G54" s="138" t="str">
        <x:f>IF(OR($A54="",$B54=""),"",SUMIFS('Human Time Log'!$H$4:$H$503,'Human Time Log'!$A$4:$A$503,$A54,'Human Time Log'!$B$4:$B$503,$B54,'Human Time Log'!$D$4:$D$503,"Human Review"))</x:f>
      </x:c>
      <x:c r="H54" s="138" t="str">
        <x:f>IF(OR($A54="",$B54=""),"",SUMIFS('Human Time Log'!$H$4:$H$503,'Human Time Log'!$A$4:$A$503,$A54,'Human Time Log'!$B$4:$B$503,$B54,'Human Time Log'!$D$4:$D$503,"Testing / Acceptance"))</x:f>
      </x:c>
      <x:c r="I54" s="138" t="str">
        <x:f>IF(OR($A54="",$B54=""),"",SUMIFS('Human Time Log'!$H$4:$H$503,'Human Time Log'!$A$4:$A$503,$A54,'Human Time Log'!$B$4:$B$503,$B54,'Human Time Log'!$D$4:$D$503,"Fix / Rework"))</x:f>
      </x:c>
      <x:c r="J54" s="138" t="str">
        <x:f>IF(OR($A54="",$B54=""),"",SUMIFS('Human Time Log'!$H$4:$H$503,'Human Time Log'!$A$4:$A$503,$A54,'Human Time Log'!$B$4:$B$503,$B54,'Human Time Log'!$D$4:$D$503,"Integration / Deployment"))</x:f>
      </x:c>
      <x:c r="K54" s="138" t="str">
        <x:f>IF(OR($A54="",$B54=""),"",SUMIFS('Human Time Log'!$H$4:$H$503,'Human Time Log'!$A$4:$A$503,$A54,'Human Time Log'!$B$4:$B$503,$B54,'Human Time Log'!$D$4:$D$503,"PM / Documentation"))</x:f>
      </x:c>
      <x:c r="L54" s="138" t="str">
        <x:f>IF(OR($A54="",$B54=""),"",SUMIFS('Human Time Log'!$H$4:$H$503,'Human Time Log'!$A$4:$A$503,$A54,'Human Time Log'!$B$4:$B$503,$B54,'Human Time Log'!$D$4:$D$503,"Meeting")+SUMIFS('Human Time Log'!$H$4:$H$503,'Human Time Log'!$A$4:$A$503,$A54,'Human Time Log'!$B$4:$B$503,$B54,'Human Time Log'!$D$4:$D$503,"Other"))</x:f>
      </x:c>
      <x:c r="M54" s="138" t="str">
        <x:f>IF(OR(C54="",D54=""),"",D54-C54)</x:f>
      </x:c>
      <x:c r="N54" s="141"/>
    </x:row>
    <x:row r="55">
      <x:c r="A55" s="139"/>
      <x:c r="B55" s="117"/>
      <x:c r="C55" s="160"/>
      <x:c r="D55" s="138" t="str">
        <x:f>IF(OR(A55="",B55=""),"",SUMIFS('Human Time Log'!$H$4:$H$503,'Human Time Log'!$A$4:$A$503,A55,'Human Time Log'!$B$4:$B$503,B55))</x:f>
      </x:c>
      <x:c r="E55" s="138" t="str">
        <x:f>IF(OR($A55="",$B55=""),"",SUMIFS('Human Time Log'!$H$4:$H$503,'Human Time Log'!$A$4:$A$503,$A55,'Human Time Log'!$B$4:$B$503,$B55,'Human Time Log'!$D$4:$D$503,"Analysis &amp; Prompting"))</x:f>
      </x:c>
      <x:c r="F55" s="138" t="str">
        <x:f>IF(OR($A55="",$B55=""),"",SUMIFS('Human Time Log'!$H$4:$H$503,'Human Time Log'!$A$4:$A$503,$A55,'Human Time Log'!$B$4:$B$503,$B55,'Human Time Log'!$D$4:$D$503,"Agent Supervision"))</x:f>
      </x:c>
      <x:c r="G55" s="138" t="str">
        <x:f>IF(OR($A55="",$B55=""),"",SUMIFS('Human Time Log'!$H$4:$H$503,'Human Time Log'!$A$4:$A$503,$A55,'Human Time Log'!$B$4:$B$503,$B55,'Human Time Log'!$D$4:$D$503,"Human Review"))</x:f>
      </x:c>
      <x:c r="H55" s="138" t="str">
        <x:f>IF(OR($A55="",$B55=""),"",SUMIFS('Human Time Log'!$H$4:$H$503,'Human Time Log'!$A$4:$A$503,$A55,'Human Time Log'!$B$4:$B$503,$B55,'Human Time Log'!$D$4:$D$503,"Testing / Acceptance"))</x:f>
      </x:c>
      <x:c r="I55" s="138" t="str">
        <x:f>IF(OR($A55="",$B55=""),"",SUMIFS('Human Time Log'!$H$4:$H$503,'Human Time Log'!$A$4:$A$503,$A55,'Human Time Log'!$B$4:$B$503,$B55,'Human Time Log'!$D$4:$D$503,"Fix / Rework"))</x:f>
      </x:c>
      <x:c r="J55" s="138" t="str">
        <x:f>IF(OR($A55="",$B55=""),"",SUMIFS('Human Time Log'!$H$4:$H$503,'Human Time Log'!$A$4:$A$503,$A55,'Human Time Log'!$B$4:$B$503,$B55,'Human Time Log'!$D$4:$D$503,"Integration / Deployment"))</x:f>
      </x:c>
      <x:c r="K55" s="138" t="str">
        <x:f>IF(OR($A55="",$B55=""),"",SUMIFS('Human Time Log'!$H$4:$H$503,'Human Time Log'!$A$4:$A$503,$A55,'Human Time Log'!$B$4:$B$503,$B55,'Human Time Log'!$D$4:$D$503,"PM / Documentation"))</x:f>
      </x:c>
      <x:c r="L55" s="138" t="str">
        <x:f>IF(OR($A55="",$B55=""),"",SUMIFS('Human Time Log'!$H$4:$H$503,'Human Time Log'!$A$4:$A$503,$A55,'Human Time Log'!$B$4:$B$503,$B55,'Human Time Log'!$D$4:$D$503,"Meeting")+SUMIFS('Human Time Log'!$H$4:$H$503,'Human Time Log'!$A$4:$A$503,$A55,'Human Time Log'!$B$4:$B$503,$B55,'Human Time Log'!$D$4:$D$503,"Other"))</x:f>
      </x:c>
      <x:c r="M55" s="138" t="str">
        <x:f>IF(OR(C55="",D55=""),"",D55-C55)</x:f>
      </x:c>
      <x:c r="N55" s="141"/>
    </x:row>
    <x:row r="56">
      <x:c r="A56" s="139"/>
      <x:c r="B56" s="117"/>
      <x:c r="C56" s="160"/>
      <x:c r="D56" s="138" t="str">
        <x:f>IF(OR(A56="",B56=""),"",SUMIFS('Human Time Log'!$H$4:$H$503,'Human Time Log'!$A$4:$A$503,A56,'Human Time Log'!$B$4:$B$503,B56))</x:f>
      </x:c>
      <x:c r="E56" s="138" t="str">
        <x:f>IF(OR($A56="",$B56=""),"",SUMIFS('Human Time Log'!$H$4:$H$503,'Human Time Log'!$A$4:$A$503,$A56,'Human Time Log'!$B$4:$B$503,$B56,'Human Time Log'!$D$4:$D$503,"Analysis &amp; Prompting"))</x:f>
      </x:c>
      <x:c r="F56" s="138" t="str">
        <x:f>IF(OR($A56="",$B56=""),"",SUMIFS('Human Time Log'!$H$4:$H$503,'Human Time Log'!$A$4:$A$503,$A56,'Human Time Log'!$B$4:$B$503,$B56,'Human Time Log'!$D$4:$D$503,"Agent Supervision"))</x:f>
      </x:c>
      <x:c r="G56" s="138" t="str">
        <x:f>IF(OR($A56="",$B56=""),"",SUMIFS('Human Time Log'!$H$4:$H$503,'Human Time Log'!$A$4:$A$503,$A56,'Human Time Log'!$B$4:$B$503,$B56,'Human Time Log'!$D$4:$D$503,"Human Review"))</x:f>
      </x:c>
      <x:c r="H56" s="138" t="str">
        <x:f>IF(OR($A56="",$B56=""),"",SUMIFS('Human Time Log'!$H$4:$H$503,'Human Time Log'!$A$4:$A$503,$A56,'Human Time Log'!$B$4:$B$503,$B56,'Human Time Log'!$D$4:$D$503,"Testing / Acceptance"))</x:f>
      </x:c>
      <x:c r="I56" s="138" t="str">
        <x:f>IF(OR($A56="",$B56=""),"",SUMIFS('Human Time Log'!$H$4:$H$503,'Human Time Log'!$A$4:$A$503,$A56,'Human Time Log'!$B$4:$B$503,$B56,'Human Time Log'!$D$4:$D$503,"Fix / Rework"))</x:f>
      </x:c>
      <x:c r="J56" s="138" t="str">
        <x:f>IF(OR($A56="",$B56=""),"",SUMIFS('Human Time Log'!$H$4:$H$503,'Human Time Log'!$A$4:$A$503,$A56,'Human Time Log'!$B$4:$B$503,$B56,'Human Time Log'!$D$4:$D$503,"Integration / Deployment"))</x:f>
      </x:c>
      <x:c r="K56" s="138" t="str">
        <x:f>IF(OR($A56="",$B56=""),"",SUMIFS('Human Time Log'!$H$4:$H$503,'Human Time Log'!$A$4:$A$503,$A56,'Human Time Log'!$B$4:$B$503,$B56,'Human Time Log'!$D$4:$D$503,"PM / Documentation"))</x:f>
      </x:c>
      <x:c r="L56" s="138" t="str">
        <x:f>IF(OR($A56="",$B56=""),"",SUMIFS('Human Time Log'!$H$4:$H$503,'Human Time Log'!$A$4:$A$503,$A56,'Human Time Log'!$B$4:$B$503,$B56,'Human Time Log'!$D$4:$D$503,"Meeting")+SUMIFS('Human Time Log'!$H$4:$H$503,'Human Time Log'!$A$4:$A$503,$A56,'Human Time Log'!$B$4:$B$503,$B56,'Human Time Log'!$D$4:$D$503,"Other"))</x:f>
      </x:c>
      <x:c r="M56" s="138" t="str">
        <x:f>IF(OR(C56="",D56=""),"",D56-C56)</x:f>
      </x:c>
      <x:c r="N56" s="141"/>
    </x:row>
    <x:row r="57">
      <x:c r="A57" s="139"/>
      <x:c r="B57" s="117"/>
      <x:c r="C57" s="160"/>
      <x:c r="D57" s="138" t="str">
        <x:f>IF(OR(A57="",B57=""),"",SUMIFS('Human Time Log'!$H$4:$H$503,'Human Time Log'!$A$4:$A$503,A57,'Human Time Log'!$B$4:$B$503,B57))</x:f>
      </x:c>
      <x:c r="E57" s="138" t="str">
        <x:f>IF(OR($A57="",$B57=""),"",SUMIFS('Human Time Log'!$H$4:$H$503,'Human Time Log'!$A$4:$A$503,$A57,'Human Time Log'!$B$4:$B$503,$B57,'Human Time Log'!$D$4:$D$503,"Analysis &amp; Prompting"))</x:f>
      </x:c>
      <x:c r="F57" s="138" t="str">
        <x:f>IF(OR($A57="",$B57=""),"",SUMIFS('Human Time Log'!$H$4:$H$503,'Human Time Log'!$A$4:$A$503,$A57,'Human Time Log'!$B$4:$B$503,$B57,'Human Time Log'!$D$4:$D$503,"Agent Supervision"))</x:f>
      </x:c>
      <x:c r="G57" s="138" t="str">
        <x:f>IF(OR($A57="",$B57=""),"",SUMIFS('Human Time Log'!$H$4:$H$503,'Human Time Log'!$A$4:$A$503,$A57,'Human Time Log'!$B$4:$B$503,$B57,'Human Time Log'!$D$4:$D$503,"Human Review"))</x:f>
      </x:c>
      <x:c r="H57" s="138" t="str">
        <x:f>IF(OR($A57="",$B57=""),"",SUMIFS('Human Time Log'!$H$4:$H$503,'Human Time Log'!$A$4:$A$503,$A57,'Human Time Log'!$B$4:$B$503,$B57,'Human Time Log'!$D$4:$D$503,"Testing / Acceptance"))</x:f>
      </x:c>
      <x:c r="I57" s="138" t="str">
        <x:f>IF(OR($A57="",$B57=""),"",SUMIFS('Human Time Log'!$H$4:$H$503,'Human Time Log'!$A$4:$A$503,$A57,'Human Time Log'!$B$4:$B$503,$B57,'Human Time Log'!$D$4:$D$503,"Fix / Rework"))</x:f>
      </x:c>
      <x:c r="J57" s="138" t="str">
        <x:f>IF(OR($A57="",$B57=""),"",SUMIFS('Human Time Log'!$H$4:$H$503,'Human Time Log'!$A$4:$A$503,$A57,'Human Time Log'!$B$4:$B$503,$B57,'Human Time Log'!$D$4:$D$503,"Integration / Deployment"))</x:f>
      </x:c>
      <x:c r="K57" s="138" t="str">
        <x:f>IF(OR($A57="",$B57=""),"",SUMIFS('Human Time Log'!$H$4:$H$503,'Human Time Log'!$A$4:$A$503,$A57,'Human Time Log'!$B$4:$B$503,$B57,'Human Time Log'!$D$4:$D$503,"PM / Documentation"))</x:f>
      </x:c>
      <x:c r="L57" s="138" t="str">
        <x:f>IF(OR($A57="",$B57=""),"",SUMIFS('Human Time Log'!$H$4:$H$503,'Human Time Log'!$A$4:$A$503,$A57,'Human Time Log'!$B$4:$B$503,$B57,'Human Time Log'!$D$4:$D$503,"Meeting")+SUMIFS('Human Time Log'!$H$4:$H$503,'Human Time Log'!$A$4:$A$503,$A57,'Human Time Log'!$B$4:$B$503,$B57,'Human Time Log'!$D$4:$D$503,"Other"))</x:f>
      </x:c>
      <x:c r="M57" s="138" t="str">
        <x:f>IF(OR(C57="",D57=""),"",D57-C57)</x:f>
      </x:c>
      <x:c r="N57" s="141"/>
    </x:row>
    <x:row r="58">
      <x:c r="A58" s="139"/>
      <x:c r="B58" s="117"/>
      <x:c r="C58" s="160"/>
      <x:c r="D58" s="138" t="str">
        <x:f>IF(OR(A58="",B58=""),"",SUMIFS('Human Time Log'!$H$4:$H$503,'Human Time Log'!$A$4:$A$503,A58,'Human Time Log'!$B$4:$B$503,B58))</x:f>
      </x:c>
      <x:c r="E58" s="138" t="str">
        <x:f>IF(OR($A58="",$B58=""),"",SUMIFS('Human Time Log'!$H$4:$H$503,'Human Time Log'!$A$4:$A$503,$A58,'Human Time Log'!$B$4:$B$503,$B58,'Human Time Log'!$D$4:$D$503,"Analysis &amp; Prompting"))</x:f>
      </x:c>
      <x:c r="F58" s="138" t="str">
        <x:f>IF(OR($A58="",$B58=""),"",SUMIFS('Human Time Log'!$H$4:$H$503,'Human Time Log'!$A$4:$A$503,$A58,'Human Time Log'!$B$4:$B$503,$B58,'Human Time Log'!$D$4:$D$503,"Agent Supervision"))</x:f>
      </x:c>
      <x:c r="G58" s="138" t="str">
        <x:f>IF(OR($A58="",$B58=""),"",SUMIFS('Human Time Log'!$H$4:$H$503,'Human Time Log'!$A$4:$A$503,$A58,'Human Time Log'!$B$4:$B$503,$B58,'Human Time Log'!$D$4:$D$503,"Human Review"))</x:f>
      </x:c>
      <x:c r="H58" s="138" t="str">
        <x:f>IF(OR($A58="",$B58=""),"",SUMIFS('Human Time Log'!$H$4:$H$503,'Human Time Log'!$A$4:$A$503,$A58,'Human Time Log'!$B$4:$B$503,$B58,'Human Time Log'!$D$4:$D$503,"Testing / Acceptance"))</x:f>
      </x:c>
      <x:c r="I58" s="138" t="str">
        <x:f>IF(OR($A58="",$B58=""),"",SUMIFS('Human Time Log'!$H$4:$H$503,'Human Time Log'!$A$4:$A$503,$A58,'Human Time Log'!$B$4:$B$503,$B58,'Human Time Log'!$D$4:$D$503,"Fix / Rework"))</x:f>
      </x:c>
      <x:c r="J58" s="138" t="str">
        <x:f>IF(OR($A58="",$B58=""),"",SUMIFS('Human Time Log'!$H$4:$H$503,'Human Time Log'!$A$4:$A$503,$A58,'Human Time Log'!$B$4:$B$503,$B58,'Human Time Log'!$D$4:$D$503,"Integration / Deployment"))</x:f>
      </x:c>
      <x:c r="K58" s="138" t="str">
        <x:f>IF(OR($A58="",$B58=""),"",SUMIFS('Human Time Log'!$H$4:$H$503,'Human Time Log'!$A$4:$A$503,$A58,'Human Time Log'!$B$4:$B$503,$B58,'Human Time Log'!$D$4:$D$503,"PM / Documentation"))</x:f>
      </x:c>
      <x:c r="L58" s="138" t="str">
        <x:f>IF(OR($A58="",$B58=""),"",SUMIFS('Human Time Log'!$H$4:$H$503,'Human Time Log'!$A$4:$A$503,$A58,'Human Time Log'!$B$4:$B$503,$B58,'Human Time Log'!$D$4:$D$503,"Meeting")+SUMIFS('Human Time Log'!$H$4:$H$503,'Human Time Log'!$A$4:$A$503,$A58,'Human Time Log'!$B$4:$B$503,$B58,'Human Time Log'!$D$4:$D$503,"Other"))</x:f>
      </x:c>
      <x:c r="M58" s="138" t="str">
        <x:f>IF(OR(C58="",D58=""),"",D58-C58)</x:f>
      </x:c>
      <x:c r="N58" s="141"/>
    </x:row>
    <x:row r="59">
      <x:c r="A59" s="139"/>
      <x:c r="B59" s="117"/>
      <x:c r="C59" s="160"/>
      <x:c r="D59" s="138" t="str">
        <x:f>IF(OR(A59="",B59=""),"",SUMIFS('Human Time Log'!$H$4:$H$503,'Human Time Log'!$A$4:$A$503,A59,'Human Time Log'!$B$4:$B$503,B59))</x:f>
      </x:c>
      <x:c r="E59" s="138" t="str">
        <x:f>IF(OR($A59="",$B59=""),"",SUMIFS('Human Time Log'!$H$4:$H$503,'Human Time Log'!$A$4:$A$503,$A59,'Human Time Log'!$B$4:$B$503,$B59,'Human Time Log'!$D$4:$D$503,"Analysis &amp; Prompting"))</x:f>
      </x:c>
      <x:c r="F59" s="138" t="str">
        <x:f>IF(OR($A59="",$B59=""),"",SUMIFS('Human Time Log'!$H$4:$H$503,'Human Time Log'!$A$4:$A$503,$A59,'Human Time Log'!$B$4:$B$503,$B59,'Human Time Log'!$D$4:$D$503,"Agent Supervision"))</x:f>
      </x:c>
      <x:c r="G59" s="138" t="str">
        <x:f>IF(OR($A59="",$B59=""),"",SUMIFS('Human Time Log'!$H$4:$H$503,'Human Time Log'!$A$4:$A$503,$A59,'Human Time Log'!$B$4:$B$503,$B59,'Human Time Log'!$D$4:$D$503,"Human Review"))</x:f>
      </x:c>
      <x:c r="H59" s="138" t="str">
        <x:f>IF(OR($A59="",$B59=""),"",SUMIFS('Human Time Log'!$H$4:$H$503,'Human Time Log'!$A$4:$A$503,$A59,'Human Time Log'!$B$4:$B$503,$B59,'Human Time Log'!$D$4:$D$503,"Testing / Acceptance"))</x:f>
      </x:c>
      <x:c r="I59" s="138" t="str">
        <x:f>IF(OR($A59="",$B59=""),"",SUMIFS('Human Time Log'!$H$4:$H$503,'Human Time Log'!$A$4:$A$503,$A59,'Human Time Log'!$B$4:$B$503,$B59,'Human Time Log'!$D$4:$D$503,"Fix / Rework"))</x:f>
      </x:c>
      <x:c r="J59" s="138" t="str">
        <x:f>IF(OR($A59="",$B59=""),"",SUMIFS('Human Time Log'!$H$4:$H$503,'Human Time Log'!$A$4:$A$503,$A59,'Human Time Log'!$B$4:$B$503,$B59,'Human Time Log'!$D$4:$D$503,"Integration / Deployment"))</x:f>
      </x:c>
      <x:c r="K59" s="138" t="str">
        <x:f>IF(OR($A59="",$B59=""),"",SUMIFS('Human Time Log'!$H$4:$H$503,'Human Time Log'!$A$4:$A$503,$A59,'Human Time Log'!$B$4:$B$503,$B59,'Human Time Log'!$D$4:$D$503,"PM / Documentation"))</x:f>
      </x:c>
      <x:c r="L59" s="138" t="str">
        <x:f>IF(OR($A59="",$B59=""),"",SUMIFS('Human Time Log'!$H$4:$H$503,'Human Time Log'!$A$4:$A$503,$A59,'Human Time Log'!$B$4:$B$503,$B59,'Human Time Log'!$D$4:$D$503,"Meeting")+SUMIFS('Human Time Log'!$H$4:$H$503,'Human Time Log'!$A$4:$A$503,$A59,'Human Time Log'!$B$4:$B$503,$B59,'Human Time Log'!$D$4:$D$503,"Other"))</x:f>
      </x:c>
      <x:c r="M59" s="138" t="str">
        <x:f>IF(OR(C59="",D59=""),"",D59-C59)</x:f>
      </x:c>
      <x:c r="N59" s="141"/>
    </x:row>
    <x:row r="60">
      <x:c r="A60" s="139"/>
      <x:c r="B60" s="117"/>
      <x:c r="C60" s="160"/>
      <x:c r="D60" s="138" t="str">
        <x:f>IF(OR(A60="",B60=""),"",SUMIFS('Human Time Log'!$H$4:$H$503,'Human Time Log'!$A$4:$A$503,A60,'Human Time Log'!$B$4:$B$503,B60))</x:f>
      </x:c>
      <x:c r="E60" s="138" t="str">
        <x:f>IF(OR($A60="",$B60=""),"",SUMIFS('Human Time Log'!$H$4:$H$503,'Human Time Log'!$A$4:$A$503,$A60,'Human Time Log'!$B$4:$B$503,$B60,'Human Time Log'!$D$4:$D$503,"Analysis &amp; Prompting"))</x:f>
      </x:c>
      <x:c r="F60" s="138" t="str">
        <x:f>IF(OR($A60="",$B60=""),"",SUMIFS('Human Time Log'!$H$4:$H$503,'Human Time Log'!$A$4:$A$503,$A60,'Human Time Log'!$B$4:$B$503,$B60,'Human Time Log'!$D$4:$D$503,"Agent Supervision"))</x:f>
      </x:c>
      <x:c r="G60" s="138" t="str">
        <x:f>IF(OR($A60="",$B60=""),"",SUMIFS('Human Time Log'!$H$4:$H$503,'Human Time Log'!$A$4:$A$503,$A60,'Human Time Log'!$B$4:$B$503,$B60,'Human Time Log'!$D$4:$D$503,"Human Review"))</x:f>
      </x:c>
      <x:c r="H60" s="138" t="str">
        <x:f>IF(OR($A60="",$B60=""),"",SUMIFS('Human Time Log'!$H$4:$H$503,'Human Time Log'!$A$4:$A$503,$A60,'Human Time Log'!$B$4:$B$503,$B60,'Human Time Log'!$D$4:$D$503,"Testing / Acceptance"))</x:f>
      </x:c>
      <x:c r="I60" s="138" t="str">
        <x:f>IF(OR($A60="",$B60=""),"",SUMIFS('Human Time Log'!$H$4:$H$503,'Human Time Log'!$A$4:$A$503,$A60,'Human Time Log'!$B$4:$B$503,$B60,'Human Time Log'!$D$4:$D$503,"Fix / Rework"))</x:f>
      </x:c>
      <x:c r="J60" s="138" t="str">
        <x:f>IF(OR($A60="",$B60=""),"",SUMIFS('Human Time Log'!$H$4:$H$503,'Human Time Log'!$A$4:$A$503,$A60,'Human Time Log'!$B$4:$B$503,$B60,'Human Time Log'!$D$4:$D$503,"Integration / Deployment"))</x:f>
      </x:c>
      <x:c r="K60" s="138" t="str">
        <x:f>IF(OR($A60="",$B60=""),"",SUMIFS('Human Time Log'!$H$4:$H$503,'Human Time Log'!$A$4:$A$503,$A60,'Human Time Log'!$B$4:$B$503,$B60,'Human Time Log'!$D$4:$D$503,"PM / Documentation"))</x:f>
      </x:c>
      <x:c r="L60" s="138" t="str">
        <x:f>IF(OR($A60="",$B60=""),"",SUMIFS('Human Time Log'!$H$4:$H$503,'Human Time Log'!$A$4:$A$503,$A60,'Human Time Log'!$B$4:$B$503,$B60,'Human Time Log'!$D$4:$D$503,"Meeting")+SUMIFS('Human Time Log'!$H$4:$H$503,'Human Time Log'!$A$4:$A$503,$A60,'Human Time Log'!$B$4:$B$503,$B60,'Human Time Log'!$D$4:$D$503,"Other"))</x:f>
      </x:c>
      <x:c r="M60" s="138" t="str">
        <x:f>IF(OR(C60="",D60=""),"",D60-C60)</x:f>
      </x:c>
      <x:c r="N60" s="141"/>
    </x:row>
    <x:row r="61">
      <x:c r="A61" s="139"/>
      <x:c r="B61" s="117"/>
      <x:c r="C61" s="160"/>
      <x:c r="D61" s="138" t="str">
        <x:f>IF(OR(A61="",B61=""),"",SUMIFS('Human Time Log'!$H$4:$H$503,'Human Time Log'!$A$4:$A$503,A61,'Human Time Log'!$B$4:$B$503,B61))</x:f>
      </x:c>
      <x:c r="E61" s="138" t="str">
        <x:f>IF(OR($A61="",$B61=""),"",SUMIFS('Human Time Log'!$H$4:$H$503,'Human Time Log'!$A$4:$A$503,$A61,'Human Time Log'!$B$4:$B$503,$B61,'Human Time Log'!$D$4:$D$503,"Analysis &amp; Prompting"))</x:f>
      </x:c>
      <x:c r="F61" s="138" t="str">
        <x:f>IF(OR($A61="",$B61=""),"",SUMIFS('Human Time Log'!$H$4:$H$503,'Human Time Log'!$A$4:$A$503,$A61,'Human Time Log'!$B$4:$B$503,$B61,'Human Time Log'!$D$4:$D$503,"Agent Supervision"))</x:f>
      </x:c>
      <x:c r="G61" s="138" t="str">
        <x:f>IF(OR($A61="",$B61=""),"",SUMIFS('Human Time Log'!$H$4:$H$503,'Human Time Log'!$A$4:$A$503,$A61,'Human Time Log'!$B$4:$B$503,$B61,'Human Time Log'!$D$4:$D$503,"Human Review"))</x:f>
      </x:c>
      <x:c r="H61" s="138" t="str">
        <x:f>IF(OR($A61="",$B61=""),"",SUMIFS('Human Time Log'!$H$4:$H$503,'Human Time Log'!$A$4:$A$503,$A61,'Human Time Log'!$B$4:$B$503,$B61,'Human Time Log'!$D$4:$D$503,"Testing / Acceptance"))</x:f>
      </x:c>
      <x:c r="I61" s="138" t="str">
        <x:f>IF(OR($A61="",$B61=""),"",SUMIFS('Human Time Log'!$H$4:$H$503,'Human Time Log'!$A$4:$A$503,$A61,'Human Time Log'!$B$4:$B$503,$B61,'Human Time Log'!$D$4:$D$503,"Fix / Rework"))</x:f>
      </x:c>
      <x:c r="J61" s="138" t="str">
        <x:f>IF(OR($A61="",$B61=""),"",SUMIFS('Human Time Log'!$H$4:$H$503,'Human Time Log'!$A$4:$A$503,$A61,'Human Time Log'!$B$4:$B$503,$B61,'Human Time Log'!$D$4:$D$503,"Integration / Deployment"))</x:f>
      </x:c>
      <x:c r="K61" s="138" t="str">
        <x:f>IF(OR($A61="",$B61=""),"",SUMIFS('Human Time Log'!$H$4:$H$503,'Human Time Log'!$A$4:$A$503,$A61,'Human Time Log'!$B$4:$B$503,$B61,'Human Time Log'!$D$4:$D$503,"PM / Documentation"))</x:f>
      </x:c>
      <x:c r="L61" s="138" t="str">
        <x:f>IF(OR($A61="",$B61=""),"",SUMIFS('Human Time Log'!$H$4:$H$503,'Human Time Log'!$A$4:$A$503,$A61,'Human Time Log'!$B$4:$B$503,$B61,'Human Time Log'!$D$4:$D$503,"Meeting")+SUMIFS('Human Time Log'!$H$4:$H$503,'Human Time Log'!$A$4:$A$503,$A61,'Human Time Log'!$B$4:$B$503,$B61,'Human Time Log'!$D$4:$D$503,"Other"))</x:f>
      </x:c>
      <x:c r="M61" s="138" t="str">
        <x:f>IF(OR(C61="",D61=""),"",D61-C61)</x:f>
      </x:c>
      <x:c r="N61" s="141"/>
    </x:row>
    <x:row r="62">
      <x:c r="A62" s="139"/>
      <x:c r="B62" s="117"/>
      <x:c r="C62" s="160"/>
      <x:c r="D62" s="138" t="str">
        <x:f>IF(OR(A62="",B62=""),"",SUMIFS('Human Time Log'!$H$4:$H$503,'Human Time Log'!$A$4:$A$503,A62,'Human Time Log'!$B$4:$B$503,B62))</x:f>
      </x:c>
      <x:c r="E62" s="138" t="str">
        <x:f>IF(OR($A62="",$B62=""),"",SUMIFS('Human Time Log'!$H$4:$H$503,'Human Time Log'!$A$4:$A$503,$A62,'Human Time Log'!$B$4:$B$503,$B62,'Human Time Log'!$D$4:$D$503,"Analysis &amp; Prompting"))</x:f>
      </x:c>
      <x:c r="F62" s="138" t="str">
        <x:f>IF(OR($A62="",$B62=""),"",SUMIFS('Human Time Log'!$H$4:$H$503,'Human Time Log'!$A$4:$A$503,$A62,'Human Time Log'!$B$4:$B$503,$B62,'Human Time Log'!$D$4:$D$503,"Agent Supervision"))</x:f>
      </x:c>
      <x:c r="G62" s="138" t="str">
        <x:f>IF(OR($A62="",$B62=""),"",SUMIFS('Human Time Log'!$H$4:$H$503,'Human Time Log'!$A$4:$A$503,$A62,'Human Time Log'!$B$4:$B$503,$B62,'Human Time Log'!$D$4:$D$503,"Human Review"))</x:f>
      </x:c>
      <x:c r="H62" s="138" t="str">
        <x:f>IF(OR($A62="",$B62=""),"",SUMIFS('Human Time Log'!$H$4:$H$503,'Human Time Log'!$A$4:$A$503,$A62,'Human Time Log'!$B$4:$B$503,$B62,'Human Time Log'!$D$4:$D$503,"Testing / Acceptance"))</x:f>
      </x:c>
      <x:c r="I62" s="138" t="str">
        <x:f>IF(OR($A62="",$B62=""),"",SUMIFS('Human Time Log'!$H$4:$H$503,'Human Time Log'!$A$4:$A$503,$A62,'Human Time Log'!$B$4:$B$503,$B62,'Human Time Log'!$D$4:$D$503,"Fix / Rework"))</x:f>
      </x:c>
      <x:c r="J62" s="138" t="str">
        <x:f>IF(OR($A62="",$B62=""),"",SUMIFS('Human Time Log'!$H$4:$H$503,'Human Time Log'!$A$4:$A$503,$A62,'Human Time Log'!$B$4:$B$503,$B62,'Human Time Log'!$D$4:$D$503,"Integration / Deployment"))</x:f>
      </x:c>
      <x:c r="K62" s="138" t="str">
        <x:f>IF(OR($A62="",$B62=""),"",SUMIFS('Human Time Log'!$H$4:$H$503,'Human Time Log'!$A$4:$A$503,$A62,'Human Time Log'!$B$4:$B$503,$B62,'Human Time Log'!$D$4:$D$503,"PM / Documentation"))</x:f>
      </x:c>
      <x:c r="L62" s="138" t="str">
        <x:f>IF(OR($A62="",$B62=""),"",SUMIFS('Human Time Log'!$H$4:$H$503,'Human Time Log'!$A$4:$A$503,$A62,'Human Time Log'!$B$4:$B$503,$B62,'Human Time Log'!$D$4:$D$503,"Meeting")+SUMIFS('Human Time Log'!$H$4:$H$503,'Human Time Log'!$A$4:$A$503,$A62,'Human Time Log'!$B$4:$B$503,$B62,'Human Time Log'!$D$4:$D$503,"Other"))</x:f>
      </x:c>
      <x:c r="M62" s="138" t="str">
        <x:f>IF(OR(C62="",D62=""),"",D62-C62)</x:f>
      </x:c>
      <x:c r="N62" s="141"/>
    </x:row>
    <x:row r="63">
      <x:c r="A63" s="139"/>
      <x:c r="B63" s="117"/>
      <x:c r="C63" s="160"/>
      <x:c r="D63" s="138" t="str">
        <x:f>IF(OR(A63="",B63=""),"",SUMIFS('Human Time Log'!$H$4:$H$503,'Human Time Log'!$A$4:$A$503,A63,'Human Time Log'!$B$4:$B$503,B63))</x:f>
      </x:c>
      <x:c r="E63" s="138" t="str">
        <x:f>IF(OR($A63="",$B63=""),"",SUMIFS('Human Time Log'!$H$4:$H$503,'Human Time Log'!$A$4:$A$503,$A63,'Human Time Log'!$B$4:$B$503,$B63,'Human Time Log'!$D$4:$D$503,"Analysis &amp; Prompting"))</x:f>
      </x:c>
      <x:c r="F63" s="138" t="str">
        <x:f>IF(OR($A63="",$B63=""),"",SUMIFS('Human Time Log'!$H$4:$H$503,'Human Time Log'!$A$4:$A$503,$A63,'Human Time Log'!$B$4:$B$503,$B63,'Human Time Log'!$D$4:$D$503,"Agent Supervision"))</x:f>
      </x:c>
      <x:c r="G63" s="138" t="str">
        <x:f>IF(OR($A63="",$B63=""),"",SUMIFS('Human Time Log'!$H$4:$H$503,'Human Time Log'!$A$4:$A$503,$A63,'Human Time Log'!$B$4:$B$503,$B63,'Human Time Log'!$D$4:$D$503,"Human Review"))</x:f>
      </x:c>
      <x:c r="H63" s="138" t="str">
        <x:f>IF(OR($A63="",$B63=""),"",SUMIFS('Human Time Log'!$H$4:$H$503,'Human Time Log'!$A$4:$A$503,$A63,'Human Time Log'!$B$4:$B$503,$B63,'Human Time Log'!$D$4:$D$503,"Testing / Acceptance"))</x:f>
      </x:c>
      <x:c r="I63" s="138" t="str">
        <x:f>IF(OR($A63="",$B63=""),"",SUMIFS('Human Time Log'!$H$4:$H$503,'Human Time Log'!$A$4:$A$503,$A63,'Human Time Log'!$B$4:$B$503,$B63,'Human Time Log'!$D$4:$D$503,"Fix / Rework"))</x:f>
      </x:c>
      <x:c r="J63" s="138" t="str">
        <x:f>IF(OR($A63="",$B63=""),"",SUMIFS('Human Time Log'!$H$4:$H$503,'Human Time Log'!$A$4:$A$503,$A63,'Human Time Log'!$B$4:$B$503,$B63,'Human Time Log'!$D$4:$D$503,"Integration / Deployment"))</x:f>
      </x:c>
      <x:c r="K63" s="138" t="str">
        <x:f>IF(OR($A63="",$B63=""),"",SUMIFS('Human Time Log'!$H$4:$H$503,'Human Time Log'!$A$4:$A$503,$A63,'Human Time Log'!$B$4:$B$503,$B63,'Human Time Log'!$D$4:$D$503,"PM / Documentation"))</x:f>
      </x:c>
      <x:c r="L63" s="138" t="str">
        <x:f>IF(OR($A63="",$B63=""),"",SUMIFS('Human Time Log'!$H$4:$H$503,'Human Time Log'!$A$4:$A$503,$A63,'Human Time Log'!$B$4:$B$503,$B63,'Human Time Log'!$D$4:$D$503,"Meeting")+SUMIFS('Human Time Log'!$H$4:$H$503,'Human Time Log'!$A$4:$A$503,$A63,'Human Time Log'!$B$4:$B$503,$B63,'Human Time Log'!$D$4:$D$503,"Other"))</x:f>
      </x:c>
      <x:c r="M63" s="138" t="str">
        <x:f>IF(OR(C63="",D63=""),"",D63-C63)</x:f>
      </x:c>
      <x:c r="N63" s="141"/>
    </x:row>
    <x:row r="64">
      <x:c r="A64" s="139"/>
      <x:c r="B64" s="117"/>
      <x:c r="C64" s="160"/>
      <x:c r="D64" s="138" t="str">
        <x:f>IF(OR(A64="",B64=""),"",SUMIFS('Human Time Log'!$H$4:$H$503,'Human Time Log'!$A$4:$A$503,A64,'Human Time Log'!$B$4:$B$503,B64))</x:f>
      </x:c>
      <x:c r="E64" s="138" t="str">
        <x:f>IF(OR($A64="",$B64=""),"",SUMIFS('Human Time Log'!$H$4:$H$503,'Human Time Log'!$A$4:$A$503,$A64,'Human Time Log'!$B$4:$B$503,$B64,'Human Time Log'!$D$4:$D$503,"Analysis &amp; Prompting"))</x:f>
      </x:c>
      <x:c r="F64" s="138" t="str">
        <x:f>IF(OR($A64="",$B64=""),"",SUMIFS('Human Time Log'!$H$4:$H$503,'Human Time Log'!$A$4:$A$503,$A64,'Human Time Log'!$B$4:$B$503,$B64,'Human Time Log'!$D$4:$D$503,"Agent Supervision"))</x:f>
      </x:c>
      <x:c r="G64" s="138" t="str">
        <x:f>IF(OR($A64="",$B64=""),"",SUMIFS('Human Time Log'!$H$4:$H$503,'Human Time Log'!$A$4:$A$503,$A64,'Human Time Log'!$B$4:$B$503,$B64,'Human Time Log'!$D$4:$D$503,"Human Review"))</x:f>
      </x:c>
      <x:c r="H64" s="138" t="str">
        <x:f>IF(OR($A64="",$B64=""),"",SUMIFS('Human Time Log'!$H$4:$H$503,'Human Time Log'!$A$4:$A$503,$A64,'Human Time Log'!$B$4:$B$503,$B64,'Human Time Log'!$D$4:$D$503,"Testing / Acceptance"))</x:f>
      </x:c>
      <x:c r="I64" s="138" t="str">
        <x:f>IF(OR($A64="",$B64=""),"",SUMIFS('Human Time Log'!$H$4:$H$503,'Human Time Log'!$A$4:$A$503,$A64,'Human Time Log'!$B$4:$B$503,$B64,'Human Time Log'!$D$4:$D$503,"Fix / Rework"))</x:f>
      </x:c>
      <x:c r="J64" s="138" t="str">
        <x:f>IF(OR($A64="",$B64=""),"",SUMIFS('Human Time Log'!$H$4:$H$503,'Human Time Log'!$A$4:$A$503,$A64,'Human Time Log'!$B$4:$B$503,$B64,'Human Time Log'!$D$4:$D$503,"Integration / Deployment"))</x:f>
      </x:c>
      <x:c r="K64" s="138" t="str">
        <x:f>IF(OR($A64="",$B64=""),"",SUMIFS('Human Time Log'!$H$4:$H$503,'Human Time Log'!$A$4:$A$503,$A64,'Human Time Log'!$B$4:$B$503,$B64,'Human Time Log'!$D$4:$D$503,"PM / Documentation"))</x:f>
      </x:c>
      <x:c r="L64" s="138" t="str">
        <x:f>IF(OR($A64="",$B64=""),"",SUMIFS('Human Time Log'!$H$4:$H$503,'Human Time Log'!$A$4:$A$503,$A64,'Human Time Log'!$B$4:$B$503,$B64,'Human Time Log'!$D$4:$D$503,"Meeting")+SUMIFS('Human Time Log'!$H$4:$H$503,'Human Time Log'!$A$4:$A$503,$A64,'Human Time Log'!$B$4:$B$503,$B64,'Human Time Log'!$D$4:$D$503,"Other"))</x:f>
      </x:c>
      <x:c r="M64" s="138" t="str">
        <x:f>IF(OR(C64="",D64=""),"",D64-C64)</x:f>
      </x:c>
      <x:c r="N64" s="141"/>
    </x:row>
    <x:row r="65">
      <x:c r="A65" s="139"/>
      <x:c r="B65" s="117"/>
      <x:c r="C65" s="160"/>
      <x:c r="D65" s="138" t="str">
        <x:f>IF(OR(A65="",B65=""),"",SUMIFS('Human Time Log'!$H$4:$H$503,'Human Time Log'!$A$4:$A$503,A65,'Human Time Log'!$B$4:$B$503,B65))</x:f>
      </x:c>
      <x:c r="E65" s="138" t="str">
        <x:f>IF(OR($A65="",$B65=""),"",SUMIFS('Human Time Log'!$H$4:$H$503,'Human Time Log'!$A$4:$A$503,$A65,'Human Time Log'!$B$4:$B$503,$B65,'Human Time Log'!$D$4:$D$503,"Analysis &amp; Prompting"))</x:f>
      </x:c>
      <x:c r="F65" s="138" t="str">
        <x:f>IF(OR($A65="",$B65=""),"",SUMIFS('Human Time Log'!$H$4:$H$503,'Human Time Log'!$A$4:$A$503,$A65,'Human Time Log'!$B$4:$B$503,$B65,'Human Time Log'!$D$4:$D$503,"Agent Supervision"))</x:f>
      </x:c>
      <x:c r="G65" s="138" t="str">
        <x:f>IF(OR($A65="",$B65=""),"",SUMIFS('Human Time Log'!$H$4:$H$503,'Human Time Log'!$A$4:$A$503,$A65,'Human Time Log'!$B$4:$B$503,$B65,'Human Time Log'!$D$4:$D$503,"Human Review"))</x:f>
      </x:c>
      <x:c r="H65" s="138" t="str">
        <x:f>IF(OR($A65="",$B65=""),"",SUMIFS('Human Time Log'!$H$4:$H$503,'Human Time Log'!$A$4:$A$503,$A65,'Human Time Log'!$B$4:$B$503,$B65,'Human Time Log'!$D$4:$D$503,"Testing / Acceptance"))</x:f>
      </x:c>
      <x:c r="I65" s="138" t="str">
        <x:f>IF(OR($A65="",$B65=""),"",SUMIFS('Human Time Log'!$H$4:$H$503,'Human Time Log'!$A$4:$A$503,$A65,'Human Time Log'!$B$4:$B$503,$B65,'Human Time Log'!$D$4:$D$503,"Fix / Rework"))</x:f>
      </x:c>
      <x:c r="J65" s="138" t="str">
        <x:f>IF(OR($A65="",$B65=""),"",SUMIFS('Human Time Log'!$H$4:$H$503,'Human Time Log'!$A$4:$A$503,$A65,'Human Time Log'!$B$4:$B$503,$B65,'Human Time Log'!$D$4:$D$503,"Integration / Deployment"))</x:f>
      </x:c>
      <x:c r="K65" s="138" t="str">
        <x:f>IF(OR($A65="",$B65=""),"",SUMIFS('Human Time Log'!$H$4:$H$503,'Human Time Log'!$A$4:$A$503,$A65,'Human Time Log'!$B$4:$B$503,$B65,'Human Time Log'!$D$4:$D$503,"PM / Documentation"))</x:f>
      </x:c>
      <x:c r="L65" s="138" t="str">
        <x:f>IF(OR($A65="",$B65=""),"",SUMIFS('Human Time Log'!$H$4:$H$503,'Human Time Log'!$A$4:$A$503,$A65,'Human Time Log'!$B$4:$B$503,$B65,'Human Time Log'!$D$4:$D$503,"Meeting")+SUMIFS('Human Time Log'!$H$4:$H$503,'Human Time Log'!$A$4:$A$503,$A65,'Human Time Log'!$B$4:$B$503,$B65,'Human Time Log'!$D$4:$D$503,"Other"))</x:f>
      </x:c>
      <x:c r="M65" s="138" t="str">
        <x:f>IF(OR(C65="",D65=""),"",D65-C65)</x:f>
      </x:c>
      <x:c r="N65" s="141"/>
    </x:row>
    <x:row r="66">
      <x:c r="A66" s="139"/>
      <x:c r="B66" s="117"/>
      <x:c r="C66" s="160"/>
      <x:c r="D66" s="138" t="str">
        <x:f>IF(OR(A66="",B66=""),"",SUMIFS('Human Time Log'!$H$4:$H$503,'Human Time Log'!$A$4:$A$503,A66,'Human Time Log'!$B$4:$B$503,B66))</x:f>
      </x:c>
      <x:c r="E66" s="138" t="str">
        <x:f>IF(OR($A66="",$B66=""),"",SUMIFS('Human Time Log'!$H$4:$H$503,'Human Time Log'!$A$4:$A$503,$A66,'Human Time Log'!$B$4:$B$503,$B66,'Human Time Log'!$D$4:$D$503,"Analysis &amp; Prompting"))</x:f>
      </x:c>
      <x:c r="F66" s="138" t="str">
        <x:f>IF(OR($A66="",$B66=""),"",SUMIFS('Human Time Log'!$H$4:$H$503,'Human Time Log'!$A$4:$A$503,$A66,'Human Time Log'!$B$4:$B$503,$B66,'Human Time Log'!$D$4:$D$503,"Agent Supervision"))</x:f>
      </x:c>
      <x:c r="G66" s="138" t="str">
        <x:f>IF(OR($A66="",$B66=""),"",SUMIFS('Human Time Log'!$H$4:$H$503,'Human Time Log'!$A$4:$A$503,$A66,'Human Time Log'!$B$4:$B$503,$B66,'Human Time Log'!$D$4:$D$503,"Human Review"))</x:f>
      </x:c>
      <x:c r="H66" s="138" t="str">
        <x:f>IF(OR($A66="",$B66=""),"",SUMIFS('Human Time Log'!$H$4:$H$503,'Human Time Log'!$A$4:$A$503,$A66,'Human Time Log'!$B$4:$B$503,$B66,'Human Time Log'!$D$4:$D$503,"Testing / Acceptance"))</x:f>
      </x:c>
      <x:c r="I66" s="138" t="str">
        <x:f>IF(OR($A66="",$B66=""),"",SUMIFS('Human Time Log'!$H$4:$H$503,'Human Time Log'!$A$4:$A$503,$A66,'Human Time Log'!$B$4:$B$503,$B66,'Human Time Log'!$D$4:$D$503,"Fix / Rework"))</x:f>
      </x:c>
      <x:c r="J66" s="138" t="str">
        <x:f>IF(OR($A66="",$B66=""),"",SUMIFS('Human Time Log'!$H$4:$H$503,'Human Time Log'!$A$4:$A$503,$A66,'Human Time Log'!$B$4:$B$503,$B66,'Human Time Log'!$D$4:$D$503,"Integration / Deployment"))</x:f>
      </x:c>
      <x:c r="K66" s="138" t="str">
        <x:f>IF(OR($A66="",$B66=""),"",SUMIFS('Human Time Log'!$H$4:$H$503,'Human Time Log'!$A$4:$A$503,$A66,'Human Time Log'!$B$4:$B$503,$B66,'Human Time Log'!$D$4:$D$503,"PM / Documentation"))</x:f>
      </x:c>
      <x:c r="L66" s="138" t="str">
        <x:f>IF(OR($A66="",$B66=""),"",SUMIFS('Human Time Log'!$H$4:$H$503,'Human Time Log'!$A$4:$A$503,$A66,'Human Time Log'!$B$4:$B$503,$B66,'Human Time Log'!$D$4:$D$503,"Meeting")+SUMIFS('Human Time Log'!$H$4:$H$503,'Human Time Log'!$A$4:$A$503,$A66,'Human Time Log'!$B$4:$B$503,$B66,'Human Time Log'!$D$4:$D$503,"Other"))</x:f>
      </x:c>
      <x:c r="M66" s="138" t="str">
        <x:f>IF(OR(C66="",D66=""),"",D66-C66)</x:f>
      </x:c>
      <x:c r="N66" s="141"/>
    </x:row>
    <x:row r="67">
      <x:c r="A67" s="139"/>
      <x:c r="B67" s="117"/>
      <x:c r="C67" s="160"/>
      <x:c r="D67" s="138" t="str">
        <x:f>IF(OR(A67="",B67=""),"",SUMIFS('Human Time Log'!$H$4:$H$503,'Human Time Log'!$A$4:$A$503,A67,'Human Time Log'!$B$4:$B$503,B67))</x:f>
      </x:c>
      <x:c r="E67" s="138" t="str">
        <x:f>IF(OR($A67="",$B67=""),"",SUMIFS('Human Time Log'!$H$4:$H$503,'Human Time Log'!$A$4:$A$503,$A67,'Human Time Log'!$B$4:$B$503,$B67,'Human Time Log'!$D$4:$D$503,"Analysis &amp; Prompting"))</x:f>
      </x:c>
      <x:c r="F67" s="138" t="str">
        <x:f>IF(OR($A67="",$B67=""),"",SUMIFS('Human Time Log'!$H$4:$H$503,'Human Time Log'!$A$4:$A$503,$A67,'Human Time Log'!$B$4:$B$503,$B67,'Human Time Log'!$D$4:$D$503,"Agent Supervision"))</x:f>
      </x:c>
      <x:c r="G67" s="138" t="str">
        <x:f>IF(OR($A67="",$B67=""),"",SUMIFS('Human Time Log'!$H$4:$H$503,'Human Time Log'!$A$4:$A$503,$A67,'Human Time Log'!$B$4:$B$503,$B67,'Human Time Log'!$D$4:$D$503,"Human Review"))</x:f>
      </x:c>
      <x:c r="H67" s="138" t="str">
        <x:f>IF(OR($A67="",$B67=""),"",SUMIFS('Human Time Log'!$H$4:$H$503,'Human Time Log'!$A$4:$A$503,$A67,'Human Time Log'!$B$4:$B$503,$B67,'Human Time Log'!$D$4:$D$503,"Testing / Acceptance"))</x:f>
      </x:c>
      <x:c r="I67" s="138" t="str">
        <x:f>IF(OR($A67="",$B67=""),"",SUMIFS('Human Time Log'!$H$4:$H$503,'Human Time Log'!$A$4:$A$503,$A67,'Human Time Log'!$B$4:$B$503,$B67,'Human Time Log'!$D$4:$D$503,"Fix / Rework"))</x:f>
      </x:c>
      <x:c r="J67" s="138" t="str">
        <x:f>IF(OR($A67="",$B67=""),"",SUMIFS('Human Time Log'!$H$4:$H$503,'Human Time Log'!$A$4:$A$503,$A67,'Human Time Log'!$B$4:$B$503,$B67,'Human Time Log'!$D$4:$D$503,"Integration / Deployment"))</x:f>
      </x:c>
      <x:c r="K67" s="138" t="str">
        <x:f>IF(OR($A67="",$B67=""),"",SUMIFS('Human Time Log'!$H$4:$H$503,'Human Time Log'!$A$4:$A$503,$A67,'Human Time Log'!$B$4:$B$503,$B67,'Human Time Log'!$D$4:$D$503,"PM / Documentation"))</x:f>
      </x:c>
      <x:c r="L67" s="138" t="str">
        <x:f>IF(OR($A67="",$B67=""),"",SUMIFS('Human Time Log'!$H$4:$H$503,'Human Time Log'!$A$4:$A$503,$A67,'Human Time Log'!$B$4:$B$503,$B67,'Human Time Log'!$D$4:$D$503,"Meeting")+SUMIFS('Human Time Log'!$H$4:$H$503,'Human Time Log'!$A$4:$A$503,$A67,'Human Time Log'!$B$4:$B$503,$B67,'Human Time Log'!$D$4:$D$503,"Other"))</x:f>
      </x:c>
      <x:c r="M67" s="138" t="str">
        <x:f>IF(OR(C67="",D67=""),"",D67-C67)</x:f>
      </x:c>
      <x:c r="N67" s="141"/>
    </x:row>
    <x:row r="68">
      <x:c r="A68" s="139"/>
      <x:c r="B68" s="117"/>
      <x:c r="C68" s="160"/>
      <x:c r="D68" s="138" t="str">
        <x:f>IF(OR(A68="",B68=""),"",SUMIFS('Human Time Log'!$H$4:$H$503,'Human Time Log'!$A$4:$A$503,A68,'Human Time Log'!$B$4:$B$503,B68))</x:f>
      </x:c>
      <x:c r="E68" s="138" t="str">
        <x:f>IF(OR($A68="",$B68=""),"",SUMIFS('Human Time Log'!$H$4:$H$503,'Human Time Log'!$A$4:$A$503,$A68,'Human Time Log'!$B$4:$B$503,$B68,'Human Time Log'!$D$4:$D$503,"Analysis &amp; Prompting"))</x:f>
      </x:c>
      <x:c r="F68" s="138" t="str">
        <x:f>IF(OR($A68="",$B68=""),"",SUMIFS('Human Time Log'!$H$4:$H$503,'Human Time Log'!$A$4:$A$503,$A68,'Human Time Log'!$B$4:$B$503,$B68,'Human Time Log'!$D$4:$D$503,"Agent Supervision"))</x:f>
      </x:c>
      <x:c r="G68" s="138" t="str">
        <x:f>IF(OR($A68="",$B68=""),"",SUMIFS('Human Time Log'!$H$4:$H$503,'Human Time Log'!$A$4:$A$503,$A68,'Human Time Log'!$B$4:$B$503,$B68,'Human Time Log'!$D$4:$D$503,"Human Review"))</x:f>
      </x:c>
      <x:c r="H68" s="138" t="str">
        <x:f>IF(OR($A68="",$B68=""),"",SUMIFS('Human Time Log'!$H$4:$H$503,'Human Time Log'!$A$4:$A$503,$A68,'Human Time Log'!$B$4:$B$503,$B68,'Human Time Log'!$D$4:$D$503,"Testing / Acceptance"))</x:f>
      </x:c>
      <x:c r="I68" s="138" t="str">
        <x:f>IF(OR($A68="",$B68=""),"",SUMIFS('Human Time Log'!$H$4:$H$503,'Human Time Log'!$A$4:$A$503,$A68,'Human Time Log'!$B$4:$B$503,$B68,'Human Time Log'!$D$4:$D$503,"Fix / Rework"))</x:f>
      </x:c>
      <x:c r="J68" s="138" t="str">
        <x:f>IF(OR($A68="",$B68=""),"",SUMIFS('Human Time Log'!$H$4:$H$503,'Human Time Log'!$A$4:$A$503,$A68,'Human Time Log'!$B$4:$B$503,$B68,'Human Time Log'!$D$4:$D$503,"Integration / Deployment"))</x:f>
      </x:c>
      <x:c r="K68" s="138" t="str">
        <x:f>IF(OR($A68="",$B68=""),"",SUMIFS('Human Time Log'!$H$4:$H$503,'Human Time Log'!$A$4:$A$503,$A68,'Human Time Log'!$B$4:$B$503,$B68,'Human Time Log'!$D$4:$D$503,"PM / Documentation"))</x:f>
      </x:c>
      <x:c r="L68" s="138" t="str">
        <x:f>IF(OR($A68="",$B68=""),"",SUMIFS('Human Time Log'!$H$4:$H$503,'Human Time Log'!$A$4:$A$503,$A68,'Human Time Log'!$B$4:$B$503,$B68,'Human Time Log'!$D$4:$D$503,"Meeting")+SUMIFS('Human Time Log'!$H$4:$H$503,'Human Time Log'!$A$4:$A$503,$A68,'Human Time Log'!$B$4:$B$503,$B68,'Human Time Log'!$D$4:$D$503,"Other"))</x:f>
      </x:c>
      <x:c r="M68" s="138" t="str">
        <x:f>IF(OR(C68="",D68=""),"",D68-C68)</x:f>
      </x:c>
      <x:c r="N68" s="141"/>
    </x:row>
    <x:row r="69">
      <x:c r="A69" s="139"/>
      <x:c r="B69" s="117"/>
      <x:c r="C69" s="160"/>
      <x:c r="D69" s="138" t="str">
        <x:f>IF(OR(A69="",B69=""),"",SUMIFS('Human Time Log'!$H$4:$H$503,'Human Time Log'!$A$4:$A$503,A69,'Human Time Log'!$B$4:$B$503,B69))</x:f>
      </x:c>
      <x:c r="E69" s="138" t="str">
        <x:f>IF(OR($A69="",$B69=""),"",SUMIFS('Human Time Log'!$H$4:$H$503,'Human Time Log'!$A$4:$A$503,$A69,'Human Time Log'!$B$4:$B$503,$B69,'Human Time Log'!$D$4:$D$503,"Analysis &amp; Prompting"))</x:f>
      </x:c>
      <x:c r="F69" s="138" t="str">
        <x:f>IF(OR($A69="",$B69=""),"",SUMIFS('Human Time Log'!$H$4:$H$503,'Human Time Log'!$A$4:$A$503,$A69,'Human Time Log'!$B$4:$B$503,$B69,'Human Time Log'!$D$4:$D$503,"Agent Supervision"))</x:f>
      </x:c>
      <x:c r="G69" s="138" t="str">
        <x:f>IF(OR($A69="",$B69=""),"",SUMIFS('Human Time Log'!$H$4:$H$503,'Human Time Log'!$A$4:$A$503,$A69,'Human Time Log'!$B$4:$B$503,$B69,'Human Time Log'!$D$4:$D$503,"Human Review"))</x:f>
      </x:c>
      <x:c r="H69" s="138" t="str">
        <x:f>IF(OR($A69="",$B69=""),"",SUMIFS('Human Time Log'!$H$4:$H$503,'Human Time Log'!$A$4:$A$503,$A69,'Human Time Log'!$B$4:$B$503,$B69,'Human Time Log'!$D$4:$D$503,"Testing / Acceptance"))</x:f>
      </x:c>
      <x:c r="I69" s="138" t="str">
        <x:f>IF(OR($A69="",$B69=""),"",SUMIFS('Human Time Log'!$H$4:$H$503,'Human Time Log'!$A$4:$A$503,$A69,'Human Time Log'!$B$4:$B$503,$B69,'Human Time Log'!$D$4:$D$503,"Fix / Rework"))</x:f>
      </x:c>
      <x:c r="J69" s="138" t="str">
        <x:f>IF(OR($A69="",$B69=""),"",SUMIFS('Human Time Log'!$H$4:$H$503,'Human Time Log'!$A$4:$A$503,$A69,'Human Time Log'!$B$4:$B$503,$B69,'Human Time Log'!$D$4:$D$503,"Integration / Deployment"))</x:f>
      </x:c>
      <x:c r="K69" s="138" t="str">
        <x:f>IF(OR($A69="",$B69=""),"",SUMIFS('Human Time Log'!$H$4:$H$503,'Human Time Log'!$A$4:$A$503,$A69,'Human Time Log'!$B$4:$B$503,$B69,'Human Time Log'!$D$4:$D$503,"PM / Documentation"))</x:f>
      </x:c>
      <x:c r="L69" s="138" t="str">
        <x:f>IF(OR($A69="",$B69=""),"",SUMIFS('Human Time Log'!$H$4:$H$503,'Human Time Log'!$A$4:$A$503,$A69,'Human Time Log'!$B$4:$B$503,$B69,'Human Time Log'!$D$4:$D$503,"Meeting")+SUMIFS('Human Time Log'!$H$4:$H$503,'Human Time Log'!$A$4:$A$503,$A69,'Human Time Log'!$B$4:$B$503,$B69,'Human Time Log'!$D$4:$D$503,"Other"))</x:f>
      </x:c>
      <x:c r="M69" s="138" t="str">
        <x:f>IF(OR(C69="",D69=""),"",D69-C69)</x:f>
      </x:c>
      <x:c r="N69" s="141"/>
    </x:row>
    <x:row r="70">
      <x:c r="A70" s="139"/>
      <x:c r="B70" s="117"/>
      <x:c r="C70" s="160"/>
      <x:c r="D70" s="138" t="str">
        <x:f>IF(OR(A70="",B70=""),"",SUMIFS('Human Time Log'!$H$4:$H$503,'Human Time Log'!$A$4:$A$503,A70,'Human Time Log'!$B$4:$B$503,B70))</x:f>
      </x:c>
      <x:c r="E70" s="138" t="str">
        <x:f>IF(OR($A70="",$B70=""),"",SUMIFS('Human Time Log'!$H$4:$H$503,'Human Time Log'!$A$4:$A$503,$A70,'Human Time Log'!$B$4:$B$503,$B70,'Human Time Log'!$D$4:$D$503,"Analysis &amp; Prompting"))</x:f>
      </x:c>
      <x:c r="F70" s="138" t="str">
        <x:f>IF(OR($A70="",$B70=""),"",SUMIFS('Human Time Log'!$H$4:$H$503,'Human Time Log'!$A$4:$A$503,$A70,'Human Time Log'!$B$4:$B$503,$B70,'Human Time Log'!$D$4:$D$503,"Agent Supervision"))</x:f>
      </x:c>
      <x:c r="G70" s="138" t="str">
        <x:f>IF(OR($A70="",$B70=""),"",SUMIFS('Human Time Log'!$H$4:$H$503,'Human Time Log'!$A$4:$A$503,$A70,'Human Time Log'!$B$4:$B$503,$B70,'Human Time Log'!$D$4:$D$503,"Human Review"))</x:f>
      </x:c>
      <x:c r="H70" s="138" t="str">
        <x:f>IF(OR($A70="",$B70=""),"",SUMIFS('Human Time Log'!$H$4:$H$503,'Human Time Log'!$A$4:$A$503,$A70,'Human Time Log'!$B$4:$B$503,$B70,'Human Time Log'!$D$4:$D$503,"Testing / Acceptance"))</x:f>
      </x:c>
      <x:c r="I70" s="138" t="str">
        <x:f>IF(OR($A70="",$B70=""),"",SUMIFS('Human Time Log'!$H$4:$H$503,'Human Time Log'!$A$4:$A$503,$A70,'Human Time Log'!$B$4:$B$503,$B70,'Human Time Log'!$D$4:$D$503,"Fix / Rework"))</x:f>
      </x:c>
      <x:c r="J70" s="138" t="str">
        <x:f>IF(OR($A70="",$B70=""),"",SUMIFS('Human Time Log'!$H$4:$H$503,'Human Time Log'!$A$4:$A$503,$A70,'Human Time Log'!$B$4:$B$503,$B70,'Human Time Log'!$D$4:$D$503,"Integration / Deployment"))</x:f>
      </x:c>
      <x:c r="K70" s="138" t="str">
        <x:f>IF(OR($A70="",$B70=""),"",SUMIFS('Human Time Log'!$H$4:$H$503,'Human Time Log'!$A$4:$A$503,$A70,'Human Time Log'!$B$4:$B$503,$B70,'Human Time Log'!$D$4:$D$503,"PM / Documentation"))</x:f>
      </x:c>
      <x:c r="L70" s="138" t="str">
        <x:f>IF(OR($A70="",$B70=""),"",SUMIFS('Human Time Log'!$H$4:$H$503,'Human Time Log'!$A$4:$A$503,$A70,'Human Time Log'!$B$4:$B$503,$B70,'Human Time Log'!$D$4:$D$503,"Meeting")+SUMIFS('Human Time Log'!$H$4:$H$503,'Human Time Log'!$A$4:$A$503,$A70,'Human Time Log'!$B$4:$B$503,$B70,'Human Time Log'!$D$4:$D$503,"Other"))</x:f>
      </x:c>
      <x:c r="M70" s="138" t="str">
        <x:f>IF(OR(C70="",D70=""),"",D70-C70)</x:f>
      </x:c>
      <x:c r="N70" s="141"/>
    </x:row>
    <x:row r="71">
      <x:c r="A71" s="139"/>
      <x:c r="B71" s="117"/>
      <x:c r="C71" s="160"/>
      <x:c r="D71" s="138" t="str">
        <x:f>IF(OR(A71="",B71=""),"",SUMIFS('Human Time Log'!$H$4:$H$503,'Human Time Log'!$A$4:$A$503,A71,'Human Time Log'!$B$4:$B$503,B71))</x:f>
      </x:c>
      <x:c r="E71" s="138" t="str">
        <x:f>IF(OR($A71="",$B71=""),"",SUMIFS('Human Time Log'!$H$4:$H$503,'Human Time Log'!$A$4:$A$503,$A71,'Human Time Log'!$B$4:$B$503,$B71,'Human Time Log'!$D$4:$D$503,"Analysis &amp; Prompting"))</x:f>
      </x:c>
      <x:c r="F71" s="138" t="str">
        <x:f>IF(OR($A71="",$B71=""),"",SUMIFS('Human Time Log'!$H$4:$H$503,'Human Time Log'!$A$4:$A$503,$A71,'Human Time Log'!$B$4:$B$503,$B71,'Human Time Log'!$D$4:$D$503,"Agent Supervision"))</x:f>
      </x:c>
      <x:c r="G71" s="138" t="str">
        <x:f>IF(OR($A71="",$B71=""),"",SUMIFS('Human Time Log'!$H$4:$H$503,'Human Time Log'!$A$4:$A$503,$A71,'Human Time Log'!$B$4:$B$503,$B71,'Human Time Log'!$D$4:$D$503,"Human Review"))</x:f>
      </x:c>
      <x:c r="H71" s="138" t="str">
        <x:f>IF(OR($A71="",$B71=""),"",SUMIFS('Human Time Log'!$H$4:$H$503,'Human Time Log'!$A$4:$A$503,$A71,'Human Time Log'!$B$4:$B$503,$B71,'Human Time Log'!$D$4:$D$503,"Testing / Acceptance"))</x:f>
      </x:c>
      <x:c r="I71" s="138" t="str">
        <x:f>IF(OR($A71="",$B71=""),"",SUMIFS('Human Time Log'!$H$4:$H$503,'Human Time Log'!$A$4:$A$503,$A71,'Human Time Log'!$B$4:$B$503,$B71,'Human Time Log'!$D$4:$D$503,"Fix / Rework"))</x:f>
      </x:c>
      <x:c r="J71" s="138" t="str">
        <x:f>IF(OR($A71="",$B71=""),"",SUMIFS('Human Time Log'!$H$4:$H$503,'Human Time Log'!$A$4:$A$503,$A71,'Human Time Log'!$B$4:$B$503,$B71,'Human Time Log'!$D$4:$D$503,"Integration / Deployment"))</x:f>
      </x:c>
      <x:c r="K71" s="138" t="str">
        <x:f>IF(OR($A71="",$B71=""),"",SUMIFS('Human Time Log'!$H$4:$H$503,'Human Time Log'!$A$4:$A$503,$A71,'Human Time Log'!$B$4:$B$503,$B71,'Human Time Log'!$D$4:$D$503,"PM / Documentation"))</x:f>
      </x:c>
      <x:c r="L71" s="138" t="str">
        <x:f>IF(OR($A71="",$B71=""),"",SUMIFS('Human Time Log'!$H$4:$H$503,'Human Time Log'!$A$4:$A$503,$A71,'Human Time Log'!$B$4:$B$503,$B71,'Human Time Log'!$D$4:$D$503,"Meeting")+SUMIFS('Human Time Log'!$H$4:$H$503,'Human Time Log'!$A$4:$A$503,$A71,'Human Time Log'!$B$4:$B$503,$B71,'Human Time Log'!$D$4:$D$503,"Other"))</x:f>
      </x:c>
      <x:c r="M71" s="138" t="str">
        <x:f>IF(OR(C71="",D71=""),"",D71-C71)</x:f>
      </x:c>
      <x:c r="N71" s="141"/>
    </x:row>
    <x:row r="72">
      <x:c r="A72" s="139"/>
      <x:c r="B72" s="117"/>
      <x:c r="C72" s="160"/>
      <x:c r="D72" s="138" t="str">
        <x:f>IF(OR(A72="",B72=""),"",SUMIFS('Human Time Log'!$H$4:$H$503,'Human Time Log'!$A$4:$A$503,A72,'Human Time Log'!$B$4:$B$503,B72))</x:f>
      </x:c>
      <x:c r="E72" s="138" t="str">
        <x:f>IF(OR($A72="",$B72=""),"",SUMIFS('Human Time Log'!$H$4:$H$503,'Human Time Log'!$A$4:$A$503,$A72,'Human Time Log'!$B$4:$B$503,$B72,'Human Time Log'!$D$4:$D$503,"Analysis &amp; Prompting"))</x:f>
      </x:c>
      <x:c r="F72" s="138" t="str">
        <x:f>IF(OR($A72="",$B72=""),"",SUMIFS('Human Time Log'!$H$4:$H$503,'Human Time Log'!$A$4:$A$503,$A72,'Human Time Log'!$B$4:$B$503,$B72,'Human Time Log'!$D$4:$D$503,"Agent Supervision"))</x:f>
      </x:c>
      <x:c r="G72" s="138" t="str">
        <x:f>IF(OR($A72="",$B72=""),"",SUMIFS('Human Time Log'!$H$4:$H$503,'Human Time Log'!$A$4:$A$503,$A72,'Human Time Log'!$B$4:$B$503,$B72,'Human Time Log'!$D$4:$D$503,"Human Review"))</x:f>
      </x:c>
      <x:c r="H72" s="138" t="str">
        <x:f>IF(OR($A72="",$B72=""),"",SUMIFS('Human Time Log'!$H$4:$H$503,'Human Time Log'!$A$4:$A$503,$A72,'Human Time Log'!$B$4:$B$503,$B72,'Human Time Log'!$D$4:$D$503,"Testing / Acceptance"))</x:f>
      </x:c>
      <x:c r="I72" s="138" t="str">
        <x:f>IF(OR($A72="",$B72=""),"",SUMIFS('Human Time Log'!$H$4:$H$503,'Human Time Log'!$A$4:$A$503,$A72,'Human Time Log'!$B$4:$B$503,$B72,'Human Time Log'!$D$4:$D$503,"Fix / Rework"))</x:f>
      </x:c>
      <x:c r="J72" s="138" t="str">
        <x:f>IF(OR($A72="",$B72=""),"",SUMIFS('Human Time Log'!$H$4:$H$503,'Human Time Log'!$A$4:$A$503,$A72,'Human Time Log'!$B$4:$B$503,$B72,'Human Time Log'!$D$4:$D$503,"Integration / Deployment"))</x:f>
      </x:c>
      <x:c r="K72" s="138" t="str">
        <x:f>IF(OR($A72="",$B72=""),"",SUMIFS('Human Time Log'!$H$4:$H$503,'Human Time Log'!$A$4:$A$503,$A72,'Human Time Log'!$B$4:$B$503,$B72,'Human Time Log'!$D$4:$D$503,"PM / Documentation"))</x:f>
      </x:c>
      <x:c r="L72" s="138" t="str">
        <x:f>IF(OR($A72="",$B72=""),"",SUMIFS('Human Time Log'!$H$4:$H$503,'Human Time Log'!$A$4:$A$503,$A72,'Human Time Log'!$B$4:$B$503,$B72,'Human Time Log'!$D$4:$D$503,"Meeting")+SUMIFS('Human Time Log'!$H$4:$H$503,'Human Time Log'!$A$4:$A$503,$A72,'Human Time Log'!$B$4:$B$503,$B72,'Human Time Log'!$D$4:$D$503,"Other"))</x:f>
      </x:c>
      <x:c r="M72" s="138" t="str">
        <x:f>IF(OR(C72="",D72=""),"",D72-C72)</x:f>
      </x:c>
      <x:c r="N72" s="141"/>
    </x:row>
    <x:row r="73">
      <x:c r="A73" s="139"/>
      <x:c r="B73" s="117"/>
      <x:c r="C73" s="160"/>
      <x:c r="D73" s="138" t="str">
        <x:f>IF(OR(A73="",B73=""),"",SUMIFS('Human Time Log'!$H$4:$H$503,'Human Time Log'!$A$4:$A$503,A73,'Human Time Log'!$B$4:$B$503,B73))</x:f>
      </x:c>
      <x:c r="E73" s="138" t="str">
        <x:f>IF(OR($A73="",$B73=""),"",SUMIFS('Human Time Log'!$H$4:$H$503,'Human Time Log'!$A$4:$A$503,$A73,'Human Time Log'!$B$4:$B$503,$B73,'Human Time Log'!$D$4:$D$503,"Analysis &amp; Prompting"))</x:f>
      </x:c>
      <x:c r="F73" s="138" t="str">
        <x:f>IF(OR($A73="",$B73=""),"",SUMIFS('Human Time Log'!$H$4:$H$503,'Human Time Log'!$A$4:$A$503,$A73,'Human Time Log'!$B$4:$B$503,$B73,'Human Time Log'!$D$4:$D$503,"Agent Supervision"))</x:f>
      </x:c>
      <x:c r="G73" s="138" t="str">
        <x:f>IF(OR($A73="",$B73=""),"",SUMIFS('Human Time Log'!$H$4:$H$503,'Human Time Log'!$A$4:$A$503,$A73,'Human Time Log'!$B$4:$B$503,$B73,'Human Time Log'!$D$4:$D$503,"Human Review"))</x:f>
      </x:c>
      <x:c r="H73" s="138" t="str">
        <x:f>IF(OR($A73="",$B73=""),"",SUMIFS('Human Time Log'!$H$4:$H$503,'Human Time Log'!$A$4:$A$503,$A73,'Human Time Log'!$B$4:$B$503,$B73,'Human Time Log'!$D$4:$D$503,"Testing / Acceptance"))</x:f>
      </x:c>
      <x:c r="I73" s="138" t="str">
        <x:f>IF(OR($A73="",$B73=""),"",SUMIFS('Human Time Log'!$H$4:$H$503,'Human Time Log'!$A$4:$A$503,$A73,'Human Time Log'!$B$4:$B$503,$B73,'Human Time Log'!$D$4:$D$503,"Fix / Rework"))</x:f>
      </x:c>
      <x:c r="J73" s="138" t="str">
        <x:f>IF(OR($A73="",$B73=""),"",SUMIFS('Human Time Log'!$H$4:$H$503,'Human Time Log'!$A$4:$A$503,$A73,'Human Time Log'!$B$4:$B$503,$B73,'Human Time Log'!$D$4:$D$503,"Integration / Deployment"))</x:f>
      </x:c>
      <x:c r="K73" s="138" t="str">
        <x:f>IF(OR($A73="",$B73=""),"",SUMIFS('Human Time Log'!$H$4:$H$503,'Human Time Log'!$A$4:$A$503,$A73,'Human Time Log'!$B$4:$B$503,$B73,'Human Time Log'!$D$4:$D$503,"PM / Documentation"))</x:f>
      </x:c>
      <x:c r="L73" s="138" t="str">
        <x:f>IF(OR($A73="",$B73=""),"",SUMIFS('Human Time Log'!$H$4:$H$503,'Human Time Log'!$A$4:$A$503,$A73,'Human Time Log'!$B$4:$B$503,$B73,'Human Time Log'!$D$4:$D$503,"Meeting")+SUMIFS('Human Time Log'!$H$4:$H$503,'Human Time Log'!$A$4:$A$503,$A73,'Human Time Log'!$B$4:$B$503,$B73,'Human Time Log'!$D$4:$D$503,"Other"))</x:f>
      </x:c>
      <x:c r="M73" s="138" t="str">
        <x:f>IF(OR(C73="",D73=""),"",D73-C73)</x:f>
      </x:c>
      <x:c r="N73" s="141"/>
    </x:row>
    <x:row r="74">
      <x:c r="A74" s="139"/>
      <x:c r="B74" s="117"/>
      <x:c r="C74" s="160"/>
      <x:c r="D74" s="138" t="str">
        <x:f>IF(OR(A74="",B74=""),"",SUMIFS('Human Time Log'!$H$4:$H$503,'Human Time Log'!$A$4:$A$503,A74,'Human Time Log'!$B$4:$B$503,B74))</x:f>
      </x:c>
      <x:c r="E74" s="138" t="str">
        <x:f>IF(OR($A74="",$B74=""),"",SUMIFS('Human Time Log'!$H$4:$H$503,'Human Time Log'!$A$4:$A$503,$A74,'Human Time Log'!$B$4:$B$503,$B74,'Human Time Log'!$D$4:$D$503,"Analysis &amp; Prompting"))</x:f>
      </x:c>
      <x:c r="F74" s="138" t="str">
        <x:f>IF(OR($A74="",$B74=""),"",SUMIFS('Human Time Log'!$H$4:$H$503,'Human Time Log'!$A$4:$A$503,$A74,'Human Time Log'!$B$4:$B$503,$B74,'Human Time Log'!$D$4:$D$503,"Agent Supervision"))</x:f>
      </x:c>
      <x:c r="G74" s="138" t="str">
        <x:f>IF(OR($A74="",$B74=""),"",SUMIFS('Human Time Log'!$H$4:$H$503,'Human Time Log'!$A$4:$A$503,$A74,'Human Time Log'!$B$4:$B$503,$B74,'Human Time Log'!$D$4:$D$503,"Human Review"))</x:f>
      </x:c>
      <x:c r="H74" s="138" t="str">
        <x:f>IF(OR($A74="",$B74=""),"",SUMIFS('Human Time Log'!$H$4:$H$503,'Human Time Log'!$A$4:$A$503,$A74,'Human Time Log'!$B$4:$B$503,$B74,'Human Time Log'!$D$4:$D$503,"Testing / Acceptance"))</x:f>
      </x:c>
      <x:c r="I74" s="138" t="str">
        <x:f>IF(OR($A74="",$B74=""),"",SUMIFS('Human Time Log'!$H$4:$H$503,'Human Time Log'!$A$4:$A$503,$A74,'Human Time Log'!$B$4:$B$503,$B74,'Human Time Log'!$D$4:$D$503,"Fix / Rework"))</x:f>
      </x:c>
      <x:c r="J74" s="138" t="str">
        <x:f>IF(OR($A74="",$B74=""),"",SUMIFS('Human Time Log'!$H$4:$H$503,'Human Time Log'!$A$4:$A$503,$A74,'Human Time Log'!$B$4:$B$503,$B74,'Human Time Log'!$D$4:$D$503,"Integration / Deployment"))</x:f>
      </x:c>
      <x:c r="K74" s="138" t="str">
        <x:f>IF(OR($A74="",$B74=""),"",SUMIFS('Human Time Log'!$H$4:$H$503,'Human Time Log'!$A$4:$A$503,$A74,'Human Time Log'!$B$4:$B$503,$B74,'Human Time Log'!$D$4:$D$503,"PM / Documentation"))</x:f>
      </x:c>
      <x:c r="L74" s="138" t="str">
        <x:f>IF(OR($A74="",$B74=""),"",SUMIFS('Human Time Log'!$H$4:$H$503,'Human Time Log'!$A$4:$A$503,$A74,'Human Time Log'!$B$4:$B$503,$B74,'Human Time Log'!$D$4:$D$503,"Meeting")+SUMIFS('Human Time Log'!$H$4:$H$503,'Human Time Log'!$A$4:$A$503,$A74,'Human Time Log'!$B$4:$B$503,$B74,'Human Time Log'!$D$4:$D$503,"Other"))</x:f>
      </x:c>
      <x:c r="M74" s="138" t="str">
        <x:f>IF(OR(C74="",D74=""),"",D74-C74)</x:f>
      </x:c>
      <x:c r="N74" s="141"/>
    </x:row>
    <x:row r="75">
      <x:c r="A75" s="139"/>
      <x:c r="B75" s="117"/>
      <x:c r="C75" s="160"/>
      <x:c r="D75" s="138" t="str">
        <x:f>IF(OR(A75="",B75=""),"",SUMIFS('Human Time Log'!$H$4:$H$503,'Human Time Log'!$A$4:$A$503,A75,'Human Time Log'!$B$4:$B$503,B75))</x:f>
      </x:c>
      <x:c r="E75" s="138" t="str">
        <x:f>IF(OR($A75="",$B75=""),"",SUMIFS('Human Time Log'!$H$4:$H$503,'Human Time Log'!$A$4:$A$503,$A75,'Human Time Log'!$B$4:$B$503,$B75,'Human Time Log'!$D$4:$D$503,"Analysis &amp; Prompting"))</x:f>
      </x:c>
      <x:c r="F75" s="138" t="str">
        <x:f>IF(OR($A75="",$B75=""),"",SUMIFS('Human Time Log'!$H$4:$H$503,'Human Time Log'!$A$4:$A$503,$A75,'Human Time Log'!$B$4:$B$503,$B75,'Human Time Log'!$D$4:$D$503,"Agent Supervision"))</x:f>
      </x:c>
      <x:c r="G75" s="138" t="str">
        <x:f>IF(OR($A75="",$B75=""),"",SUMIFS('Human Time Log'!$H$4:$H$503,'Human Time Log'!$A$4:$A$503,$A75,'Human Time Log'!$B$4:$B$503,$B75,'Human Time Log'!$D$4:$D$503,"Human Review"))</x:f>
      </x:c>
      <x:c r="H75" s="138" t="str">
        <x:f>IF(OR($A75="",$B75=""),"",SUMIFS('Human Time Log'!$H$4:$H$503,'Human Time Log'!$A$4:$A$503,$A75,'Human Time Log'!$B$4:$B$503,$B75,'Human Time Log'!$D$4:$D$503,"Testing / Acceptance"))</x:f>
      </x:c>
      <x:c r="I75" s="138" t="str">
        <x:f>IF(OR($A75="",$B75=""),"",SUMIFS('Human Time Log'!$H$4:$H$503,'Human Time Log'!$A$4:$A$503,$A75,'Human Time Log'!$B$4:$B$503,$B75,'Human Time Log'!$D$4:$D$503,"Fix / Rework"))</x:f>
      </x:c>
      <x:c r="J75" s="138" t="str">
        <x:f>IF(OR($A75="",$B75=""),"",SUMIFS('Human Time Log'!$H$4:$H$503,'Human Time Log'!$A$4:$A$503,$A75,'Human Time Log'!$B$4:$B$503,$B75,'Human Time Log'!$D$4:$D$503,"Integration / Deployment"))</x:f>
      </x:c>
      <x:c r="K75" s="138" t="str">
        <x:f>IF(OR($A75="",$B75=""),"",SUMIFS('Human Time Log'!$H$4:$H$503,'Human Time Log'!$A$4:$A$503,$A75,'Human Time Log'!$B$4:$B$503,$B75,'Human Time Log'!$D$4:$D$503,"PM / Documentation"))</x:f>
      </x:c>
      <x:c r="L75" s="138" t="str">
        <x:f>IF(OR($A75="",$B75=""),"",SUMIFS('Human Time Log'!$H$4:$H$503,'Human Time Log'!$A$4:$A$503,$A75,'Human Time Log'!$B$4:$B$503,$B75,'Human Time Log'!$D$4:$D$503,"Meeting")+SUMIFS('Human Time Log'!$H$4:$H$503,'Human Time Log'!$A$4:$A$503,$A75,'Human Time Log'!$B$4:$B$503,$B75,'Human Time Log'!$D$4:$D$503,"Other"))</x:f>
      </x:c>
      <x:c r="M75" s="138" t="str">
        <x:f>IF(OR(C75="",D75=""),"",D75-C75)</x:f>
      </x:c>
      <x:c r="N75" s="141"/>
    </x:row>
    <x:row r="76">
      <x:c r="A76" s="139"/>
      <x:c r="B76" s="117"/>
      <x:c r="C76" s="160"/>
      <x:c r="D76" s="138" t="str">
        <x:f>IF(OR(A76="",B76=""),"",SUMIFS('Human Time Log'!$H$4:$H$503,'Human Time Log'!$A$4:$A$503,A76,'Human Time Log'!$B$4:$B$503,B76))</x:f>
      </x:c>
      <x:c r="E76" s="138" t="str">
        <x:f>IF(OR($A76="",$B76=""),"",SUMIFS('Human Time Log'!$H$4:$H$503,'Human Time Log'!$A$4:$A$503,$A76,'Human Time Log'!$B$4:$B$503,$B76,'Human Time Log'!$D$4:$D$503,"Analysis &amp; Prompting"))</x:f>
      </x:c>
      <x:c r="F76" s="138" t="str">
        <x:f>IF(OR($A76="",$B76=""),"",SUMIFS('Human Time Log'!$H$4:$H$503,'Human Time Log'!$A$4:$A$503,$A76,'Human Time Log'!$B$4:$B$503,$B76,'Human Time Log'!$D$4:$D$503,"Agent Supervision"))</x:f>
      </x:c>
      <x:c r="G76" s="138" t="str">
        <x:f>IF(OR($A76="",$B76=""),"",SUMIFS('Human Time Log'!$H$4:$H$503,'Human Time Log'!$A$4:$A$503,$A76,'Human Time Log'!$B$4:$B$503,$B76,'Human Time Log'!$D$4:$D$503,"Human Review"))</x:f>
      </x:c>
      <x:c r="H76" s="138" t="str">
        <x:f>IF(OR($A76="",$B76=""),"",SUMIFS('Human Time Log'!$H$4:$H$503,'Human Time Log'!$A$4:$A$503,$A76,'Human Time Log'!$B$4:$B$503,$B76,'Human Time Log'!$D$4:$D$503,"Testing / Acceptance"))</x:f>
      </x:c>
      <x:c r="I76" s="138" t="str">
        <x:f>IF(OR($A76="",$B76=""),"",SUMIFS('Human Time Log'!$H$4:$H$503,'Human Time Log'!$A$4:$A$503,$A76,'Human Time Log'!$B$4:$B$503,$B76,'Human Time Log'!$D$4:$D$503,"Fix / Rework"))</x:f>
      </x:c>
      <x:c r="J76" s="138" t="str">
        <x:f>IF(OR($A76="",$B76=""),"",SUMIFS('Human Time Log'!$H$4:$H$503,'Human Time Log'!$A$4:$A$503,$A76,'Human Time Log'!$B$4:$B$503,$B76,'Human Time Log'!$D$4:$D$503,"Integration / Deployment"))</x:f>
      </x:c>
      <x:c r="K76" s="138" t="str">
        <x:f>IF(OR($A76="",$B76=""),"",SUMIFS('Human Time Log'!$H$4:$H$503,'Human Time Log'!$A$4:$A$503,$A76,'Human Time Log'!$B$4:$B$503,$B76,'Human Time Log'!$D$4:$D$503,"PM / Documentation"))</x:f>
      </x:c>
      <x:c r="L76" s="138" t="str">
        <x:f>IF(OR($A76="",$B76=""),"",SUMIFS('Human Time Log'!$H$4:$H$503,'Human Time Log'!$A$4:$A$503,$A76,'Human Time Log'!$B$4:$B$503,$B76,'Human Time Log'!$D$4:$D$503,"Meeting")+SUMIFS('Human Time Log'!$H$4:$H$503,'Human Time Log'!$A$4:$A$503,$A76,'Human Time Log'!$B$4:$B$503,$B76,'Human Time Log'!$D$4:$D$503,"Other"))</x:f>
      </x:c>
      <x:c r="M76" s="138" t="str">
        <x:f>IF(OR(C76="",D76=""),"",D76-C76)</x:f>
      </x:c>
      <x:c r="N76" s="141"/>
    </x:row>
    <x:row r="77">
      <x:c r="A77" s="139"/>
      <x:c r="B77" s="117"/>
      <x:c r="C77" s="160"/>
      <x:c r="D77" s="138" t="str">
        <x:f>IF(OR(A77="",B77=""),"",SUMIFS('Human Time Log'!$H$4:$H$503,'Human Time Log'!$A$4:$A$503,A77,'Human Time Log'!$B$4:$B$503,B77))</x:f>
      </x:c>
      <x:c r="E77" s="138" t="str">
        <x:f>IF(OR($A77="",$B77=""),"",SUMIFS('Human Time Log'!$H$4:$H$503,'Human Time Log'!$A$4:$A$503,$A77,'Human Time Log'!$B$4:$B$503,$B77,'Human Time Log'!$D$4:$D$503,"Analysis &amp; Prompting"))</x:f>
      </x:c>
      <x:c r="F77" s="138" t="str">
        <x:f>IF(OR($A77="",$B77=""),"",SUMIFS('Human Time Log'!$H$4:$H$503,'Human Time Log'!$A$4:$A$503,$A77,'Human Time Log'!$B$4:$B$503,$B77,'Human Time Log'!$D$4:$D$503,"Agent Supervision"))</x:f>
      </x:c>
      <x:c r="G77" s="138" t="str">
        <x:f>IF(OR($A77="",$B77=""),"",SUMIFS('Human Time Log'!$H$4:$H$503,'Human Time Log'!$A$4:$A$503,$A77,'Human Time Log'!$B$4:$B$503,$B77,'Human Time Log'!$D$4:$D$503,"Human Review"))</x:f>
      </x:c>
      <x:c r="H77" s="138" t="str">
        <x:f>IF(OR($A77="",$B77=""),"",SUMIFS('Human Time Log'!$H$4:$H$503,'Human Time Log'!$A$4:$A$503,$A77,'Human Time Log'!$B$4:$B$503,$B77,'Human Time Log'!$D$4:$D$503,"Testing / Acceptance"))</x:f>
      </x:c>
      <x:c r="I77" s="138" t="str">
        <x:f>IF(OR($A77="",$B77=""),"",SUMIFS('Human Time Log'!$H$4:$H$503,'Human Time Log'!$A$4:$A$503,$A77,'Human Time Log'!$B$4:$B$503,$B77,'Human Time Log'!$D$4:$D$503,"Fix / Rework"))</x:f>
      </x:c>
      <x:c r="J77" s="138" t="str">
        <x:f>IF(OR($A77="",$B77=""),"",SUMIFS('Human Time Log'!$H$4:$H$503,'Human Time Log'!$A$4:$A$503,$A77,'Human Time Log'!$B$4:$B$503,$B77,'Human Time Log'!$D$4:$D$503,"Integration / Deployment"))</x:f>
      </x:c>
      <x:c r="K77" s="138" t="str">
        <x:f>IF(OR($A77="",$B77=""),"",SUMIFS('Human Time Log'!$H$4:$H$503,'Human Time Log'!$A$4:$A$503,$A77,'Human Time Log'!$B$4:$B$503,$B77,'Human Time Log'!$D$4:$D$503,"PM / Documentation"))</x:f>
      </x:c>
      <x:c r="L77" s="138" t="str">
        <x:f>IF(OR($A77="",$B77=""),"",SUMIFS('Human Time Log'!$H$4:$H$503,'Human Time Log'!$A$4:$A$503,$A77,'Human Time Log'!$B$4:$B$503,$B77,'Human Time Log'!$D$4:$D$503,"Meeting")+SUMIFS('Human Time Log'!$H$4:$H$503,'Human Time Log'!$A$4:$A$503,$A77,'Human Time Log'!$B$4:$B$503,$B77,'Human Time Log'!$D$4:$D$503,"Other"))</x:f>
      </x:c>
      <x:c r="M77" s="138" t="str">
        <x:f>IF(OR(C77="",D77=""),"",D77-C77)</x:f>
      </x:c>
      <x:c r="N77" s="141"/>
    </x:row>
    <x:row r="78">
      <x:c r="A78" s="139"/>
      <x:c r="B78" s="117"/>
      <x:c r="C78" s="160"/>
      <x:c r="D78" s="138" t="str">
        <x:f>IF(OR(A78="",B78=""),"",SUMIFS('Human Time Log'!$H$4:$H$503,'Human Time Log'!$A$4:$A$503,A78,'Human Time Log'!$B$4:$B$503,B78))</x:f>
      </x:c>
      <x:c r="E78" s="138" t="str">
        <x:f>IF(OR($A78="",$B78=""),"",SUMIFS('Human Time Log'!$H$4:$H$503,'Human Time Log'!$A$4:$A$503,$A78,'Human Time Log'!$B$4:$B$503,$B78,'Human Time Log'!$D$4:$D$503,"Analysis &amp; Prompting"))</x:f>
      </x:c>
      <x:c r="F78" s="138" t="str">
        <x:f>IF(OR($A78="",$B78=""),"",SUMIFS('Human Time Log'!$H$4:$H$503,'Human Time Log'!$A$4:$A$503,$A78,'Human Time Log'!$B$4:$B$503,$B78,'Human Time Log'!$D$4:$D$503,"Agent Supervision"))</x:f>
      </x:c>
      <x:c r="G78" s="138" t="str">
        <x:f>IF(OR($A78="",$B78=""),"",SUMIFS('Human Time Log'!$H$4:$H$503,'Human Time Log'!$A$4:$A$503,$A78,'Human Time Log'!$B$4:$B$503,$B78,'Human Time Log'!$D$4:$D$503,"Human Review"))</x:f>
      </x:c>
      <x:c r="H78" s="138" t="str">
        <x:f>IF(OR($A78="",$B78=""),"",SUMIFS('Human Time Log'!$H$4:$H$503,'Human Time Log'!$A$4:$A$503,$A78,'Human Time Log'!$B$4:$B$503,$B78,'Human Time Log'!$D$4:$D$503,"Testing / Acceptance"))</x:f>
      </x:c>
      <x:c r="I78" s="138" t="str">
        <x:f>IF(OR($A78="",$B78=""),"",SUMIFS('Human Time Log'!$H$4:$H$503,'Human Time Log'!$A$4:$A$503,$A78,'Human Time Log'!$B$4:$B$503,$B78,'Human Time Log'!$D$4:$D$503,"Fix / Rework"))</x:f>
      </x:c>
      <x:c r="J78" s="138" t="str">
        <x:f>IF(OR($A78="",$B78=""),"",SUMIFS('Human Time Log'!$H$4:$H$503,'Human Time Log'!$A$4:$A$503,$A78,'Human Time Log'!$B$4:$B$503,$B78,'Human Time Log'!$D$4:$D$503,"Integration / Deployment"))</x:f>
      </x:c>
      <x:c r="K78" s="138" t="str">
        <x:f>IF(OR($A78="",$B78=""),"",SUMIFS('Human Time Log'!$H$4:$H$503,'Human Time Log'!$A$4:$A$503,$A78,'Human Time Log'!$B$4:$B$503,$B78,'Human Time Log'!$D$4:$D$503,"PM / Documentation"))</x:f>
      </x:c>
      <x:c r="L78" s="138" t="str">
        <x:f>IF(OR($A78="",$B78=""),"",SUMIFS('Human Time Log'!$H$4:$H$503,'Human Time Log'!$A$4:$A$503,$A78,'Human Time Log'!$B$4:$B$503,$B78,'Human Time Log'!$D$4:$D$503,"Meeting")+SUMIFS('Human Time Log'!$H$4:$H$503,'Human Time Log'!$A$4:$A$503,$A78,'Human Time Log'!$B$4:$B$503,$B78,'Human Time Log'!$D$4:$D$503,"Other"))</x:f>
      </x:c>
      <x:c r="M78" s="138" t="str">
        <x:f>IF(OR(C78="",D78=""),"",D78-C78)</x:f>
      </x:c>
      <x:c r="N78" s="141"/>
    </x:row>
    <x:row r="79">
      <x:c r="A79" s="139"/>
      <x:c r="B79" s="117"/>
      <x:c r="C79" s="160"/>
      <x:c r="D79" s="138" t="str">
        <x:f>IF(OR(A79="",B79=""),"",SUMIFS('Human Time Log'!$H$4:$H$503,'Human Time Log'!$A$4:$A$503,A79,'Human Time Log'!$B$4:$B$503,B79))</x:f>
      </x:c>
      <x:c r="E79" s="138" t="str">
        <x:f>IF(OR($A79="",$B79=""),"",SUMIFS('Human Time Log'!$H$4:$H$503,'Human Time Log'!$A$4:$A$503,$A79,'Human Time Log'!$B$4:$B$503,$B79,'Human Time Log'!$D$4:$D$503,"Analysis &amp; Prompting"))</x:f>
      </x:c>
      <x:c r="F79" s="138" t="str">
        <x:f>IF(OR($A79="",$B79=""),"",SUMIFS('Human Time Log'!$H$4:$H$503,'Human Time Log'!$A$4:$A$503,$A79,'Human Time Log'!$B$4:$B$503,$B79,'Human Time Log'!$D$4:$D$503,"Agent Supervision"))</x:f>
      </x:c>
      <x:c r="G79" s="138" t="str">
        <x:f>IF(OR($A79="",$B79=""),"",SUMIFS('Human Time Log'!$H$4:$H$503,'Human Time Log'!$A$4:$A$503,$A79,'Human Time Log'!$B$4:$B$503,$B79,'Human Time Log'!$D$4:$D$503,"Human Review"))</x:f>
      </x:c>
      <x:c r="H79" s="138" t="str">
        <x:f>IF(OR($A79="",$B79=""),"",SUMIFS('Human Time Log'!$H$4:$H$503,'Human Time Log'!$A$4:$A$503,$A79,'Human Time Log'!$B$4:$B$503,$B79,'Human Time Log'!$D$4:$D$503,"Testing / Acceptance"))</x:f>
      </x:c>
      <x:c r="I79" s="138" t="str">
        <x:f>IF(OR($A79="",$B79=""),"",SUMIFS('Human Time Log'!$H$4:$H$503,'Human Time Log'!$A$4:$A$503,$A79,'Human Time Log'!$B$4:$B$503,$B79,'Human Time Log'!$D$4:$D$503,"Fix / Rework"))</x:f>
      </x:c>
      <x:c r="J79" s="138" t="str">
        <x:f>IF(OR($A79="",$B79=""),"",SUMIFS('Human Time Log'!$H$4:$H$503,'Human Time Log'!$A$4:$A$503,$A79,'Human Time Log'!$B$4:$B$503,$B79,'Human Time Log'!$D$4:$D$503,"Integration / Deployment"))</x:f>
      </x:c>
      <x:c r="K79" s="138" t="str">
        <x:f>IF(OR($A79="",$B79=""),"",SUMIFS('Human Time Log'!$H$4:$H$503,'Human Time Log'!$A$4:$A$503,$A79,'Human Time Log'!$B$4:$B$503,$B79,'Human Time Log'!$D$4:$D$503,"PM / Documentation"))</x:f>
      </x:c>
      <x:c r="L79" s="138" t="str">
        <x:f>IF(OR($A79="",$B79=""),"",SUMIFS('Human Time Log'!$H$4:$H$503,'Human Time Log'!$A$4:$A$503,$A79,'Human Time Log'!$B$4:$B$503,$B79,'Human Time Log'!$D$4:$D$503,"Meeting")+SUMIFS('Human Time Log'!$H$4:$H$503,'Human Time Log'!$A$4:$A$503,$A79,'Human Time Log'!$B$4:$B$503,$B79,'Human Time Log'!$D$4:$D$503,"Other"))</x:f>
      </x:c>
      <x:c r="M79" s="138" t="str">
        <x:f>IF(OR(C79="",D79=""),"",D79-C79)</x:f>
      </x:c>
      <x:c r="N79" s="141"/>
    </x:row>
    <x:row r="80">
      <x:c r="A80" s="139"/>
      <x:c r="B80" s="117"/>
      <x:c r="C80" s="160"/>
      <x:c r="D80" s="138" t="str">
        <x:f>IF(OR(A80="",B80=""),"",SUMIFS('Human Time Log'!$H$4:$H$503,'Human Time Log'!$A$4:$A$503,A80,'Human Time Log'!$B$4:$B$503,B80))</x:f>
      </x:c>
      <x:c r="E80" s="138" t="str">
        <x:f>IF(OR($A80="",$B80=""),"",SUMIFS('Human Time Log'!$H$4:$H$503,'Human Time Log'!$A$4:$A$503,$A80,'Human Time Log'!$B$4:$B$503,$B80,'Human Time Log'!$D$4:$D$503,"Analysis &amp; Prompting"))</x:f>
      </x:c>
      <x:c r="F80" s="138" t="str">
        <x:f>IF(OR($A80="",$B80=""),"",SUMIFS('Human Time Log'!$H$4:$H$503,'Human Time Log'!$A$4:$A$503,$A80,'Human Time Log'!$B$4:$B$503,$B80,'Human Time Log'!$D$4:$D$503,"Agent Supervision"))</x:f>
      </x:c>
      <x:c r="G80" s="138" t="str">
        <x:f>IF(OR($A80="",$B80=""),"",SUMIFS('Human Time Log'!$H$4:$H$503,'Human Time Log'!$A$4:$A$503,$A80,'Human Time Log'!$B$4:$B$503,$B80,'Human Time Log'!$D$4:$D$503,"Human Review"))</x:f>
      </x:c>
      <x:c r="H80" s="138" t="str">
        <x:f>IF(OR($A80="",$B80=""),"",SUMIFS('Human Time Log'!$H$4:$H$503,'Human Time Log'!$A$4:$A$503,$A80,'Human Time Log'!$B$4:$B$503,$B80,'Human Time Log'!$D$4:$D$503,"Testing / Acceptance"))</x:f>
      </x:c>
      <x:c r="I80" s="138" t="str">
        <x:f>IF(OR($A80="",$B80=""),"",SUMIFS('Human Time Log'!$H$4:$H$503,'Human Time Log'!$A$4:$A$503,$A80,'Human Time Log'!$B$4:$B$503,$B80,'Human Time Log'!$D$4:$D$503,"Fix / Rework"))</x:f>
      </x:c>
      <x:c r="J80" s="138" t="str">
        <x:f>IF(OR($A80="",$B80=""),"",SUMIFS('Human Time Log'!$H$4:$H$503,'Human Time Log'!$A$4:$A$503,$A80,'Human Time Log'!$B$4:$B$503,$B80,'Human Time Log'!$D$4:$D$503,"Integration / Deployment"))</x:f>
      </x:c>
      <x:c r="K80" s="138" t="str">
        <x:f>IF(OR($A80="",$B80=""),"",SUMIFS('Human Time Log'!$H$4:$H$503,'Human Time Log'!$A$4:$A$503,$A80,'Human Time Log'!$B$4:$B$503,$B80,'Human Time Log'!$D$4:$D$503,"PM / Documentation"))</x:f>
      </x:c>
      <x:c r="L80" s="138" t="str">
        <x:f>IF(OR($A80="",$B80=""),"",SUMIFS('Human Time Log'!$H$4:$H$503,'Human Time Log'!$A$4:$A$503,$A80,'Human Time Log'!$B$4:$B$503,$B80,'Human Time Log'!$D$4:$D$503,"Meeting")+SUMIFS('Human Time Log'!$H$4:$H$503,'Human Time Log'!$A$4:$A$503,$A80,'Human Time Log'!$B$4:$B$503,$B80,'Human Time Log'!$D$4:$D$503,"Other"))</x:f>
      </x:c>
      <x:c r="M80" s="138" t="str">
        <x:f>IF(OR(C80="",D80=""),"",D80-C80)</x:f>
      </x:c>
      <x:c r="N80" s="141"/>
    </x:row>
    <x:row r="81">
      <x:c r="A81" s="139"/>
      <x:c r="B81" s="117"/>
      <x:c r="C81" s="160"/>
      <x:c r="D81" s="138" t="str">
        <x:f>IF(OR(A81="",B81=""),"",SUMIFS('Human Time Log'!$H$4:$H$503,'Human Time Log'!$A$4:$A$503,A81,'Human Time Log'!$B$4:$B$503,B81))</x:f>
      </x:c>
      <x:c r="E81" s="138" t="str">
        <x:f>IF(OR($A81="",$B81=""),"",SUMIFS('Human Time Log'!$H$4:$H$503,'Human Time Log'!$A$4:$A$503,$A81,'Human Time Log'!$B$4:$B$503,$B81,'Human Time Log'!$D$4:$D$503,"Analysis &amp; Prompting"))</x:f>
      </x:c>
      <x:c r="F81" s="138" t="str">
        <x:f>IF(OR($A81="",$B81=""),"",SUMIFS('Human Time Log'!$H$4:$H$503,'Human Time Log'!$A$4:$A$503,$A81,'Human Time Log'!$B$4:$B$503,$B81,'Human Time Log'!$D$4:$D$503,"Agent Supervision"))</x:f>
      </x:c>
      <x:c r="G81" s="138" t="str">
        <x:f>IF(OR($A81="",$B81=""),"",SUMIFS('Human Time Log'!$H$4:$H$503,'Human Time Log'!$A$4:$A$503,$A81,'Human Time Log'!$B$4:$B$503,$B81,'Human Time Log'!$D$4:$D$503,"Human Review"))</x:f>
      </x:c>
      <x:c r="H81" s="138" t="str">
        <x:f>IF(OR($A81="",$B81=""),"",SUMIFS('Human Time Log'!$H$4:$H$503,'Human Time Log'!$A$4:$A$503,$A81,'Human Time Log'!$B$4:$B$503,$B81,'Human Time Log'!$D$4:$D$503,"Testing / Acceptance"))</x:f>
      </x:c>
      <x:c r="I81" s="138" t="str">
        <x:f>IF(OR($A81="",$B81=""),"",SUMIFS('Human Time Log'!$H$4:$H$503,'Human Time Log'!$A$4:$A$503,$A81,'Human Time Log'!$B$4:$B$503,$B81,'Human Time Log'!$D$4:$D$503,"Fix / Rework"))</x:f>
      </x:c>
      <x:c r="J81" s="138" t="str">
        <x:f>IF(OR($A81="",$B81=""),"",SUMIFS('Human Time Log'!$H$4:$H$503,'Human Time Log'!$A$4:$A$503,$A81,'Human Time Log'!$B$4:$B$503,$B81,'Human Time Log'!$D$4:$D$503,"Integration / Deployment"))</x:f>
      </x:c>
      <x:c r="K81" s="138" t="str">
        <x:f>IF(OR($A81="",$B81=""),"",SUMIFS('Human Time Log'!$H$4:$H$503,'Human Time Log'!$A$4:$A$503,$A81,'Human Time Log'!$B$4:$B$503,$B81,'Human Time Log'!$D$4:$D$503,"PM / Documentation"))</x:f>
      </x:c>
      <x:c r="L81" s="138" t="str">
        <x:f>IF(OR($A81="",$B81=""),"",SUMIFS('Human Time Log'!$H$4:$H$503,'Human Time Log'!$A$4:$A$503,$A81,'Human Time Log'!$B$4:$B$503,$B81,'Human Time Log'!$D$4:$D$503,"Meeting")+SUMIFS('Human Time Log'!$H$4:$H$503,'Human Time Log'!$A$4:$A$503,$A81,'Human Time Log'!$B$4:$B$503,$B81,'Human Time Log'!$D$4:$D$503,"Other"))</x:f>
      </x:c>
      <x:c r="M81" s="138" t="str">
        <x:f>IF(OR(C81="",D81=""),"",D81-C81)</x:f>
      </x:c>
      <x:c r="N81" s="141"/>
    </x:row>
    <x:row r="82">
      <x:c r="A82" s="139"/>
      <x:c r="B82" s="117"/>
      <x:c r="C82" s="160"/>
      <x:c r="D82" s="138" t="str">
        <x:f>IF(OR(A82="",B82=""),"",SUMIFS('Human Time Log'!$H$4:$H$503,'Human Time Log'!$A$4:$A$503,A82,'Human Time Log'!$B$4:$B$503,B82))</x:f>
      </x:c>
      <x:c r="E82" s="138" t="str">
        <x:f>IF(OR($A82="",$B82=""),"",SUMIFS('Human Time Log'!$H$4:$H$503,'Human Time Log'!$A$4:$A$503,$A82,'Human Time Log'!$B$4:$B$503,$B82,'Human Time Log'!$D$4:$D$503,"Analysis &amp; Prompting"))</x:f>
      </x:c>
      <x:c r="F82" s="138" t="str">
        <x:f>IF(OR($A82="",$B82=""),"",SUMIFS('Human Time Log'!$H$4:$H$503,'Human Time Log'!$A$4:$A$503,$A82,'Human Time Log'!$B$4:$B$503,$B82,'Human Time Log'!$D$4:$D$503,"Agent Supervision"))</x:f>
      </x:c>
      <x:c r="G82" s="138" t="str">
        <x:f>IF(OR($A82="",$B82=""),"",SUMIFS('Human Time Log'!$H$4:$H$503,'Human Time Log'!$A$4:$A$503,$A82,'Human Time Log'!$B$4:$B$503,$B82,'Human Time Log'!$D$4:$D$503,"Human Review"))</x:f>
      </x:c>
      <x:c r="H82" s="138" t="str">
        <x:f>IF(OR($A82="",$B82=""),"",SUMIFS('Human Time Log'!$H$4:$H$503,'Human Time Log'!$A$4:$A$503,$A82,'Human Time Log'!$B$4:$B$503,$B82,'Human Time Log'!$D$4:$D$503,"Testing / Acceptance"))</x:f>
      </x:c>
      <x:c r="I82" s="138" t="str">
        <x:f>IF(OR($A82="",$B82=""),"",SUMIFS('Human Time Log'!$H$4:$H$503,'Human Time Log'!$A$4:$A$503,$A82,'Human Time Log'!$B$4:$B$503,$B82,'Human Time Log'!$D$4:$D$503,"Fix / Rework"))</x:f>
      </x:c>
      <x:c r="J82" s="138" t="str">
        <x:f>IF(OR($A82="",$B82=""),"",SUMIFS('Human Time Log'!$H$4:$H$503,'Human Time Log'!$A$4:$A$503,$A82,'Human Time Log'!$B$4:$B$503,$B82,'Human Time Log'!$D$4:$D$503,"Integration / Deployment"))</x:f>
      </x:c>
      <x:c r="K82" s="138" t="str">
        <x:f>IF(OR($A82="",$B82=""),"",SUMIFS('Human Time Log'!$H$4:$H$503,'Human Time Log'!$A$4:$A$503,$A82,'Human Time Log'!$B$4:$B$503,$B82,'Human Time Log'!$D$4:$D$503,"PM / Documentation"))</x:f>
      </x:c>
      <x:c r="L82" s="138" t="str">
        <x:f>IF(OR($A82="",$B82=""),"",SUMIFS('Human Time Log'!$H$4:$H$503,'Human Time Log'!$A$4:$A$503,$A82,'Human Time Log'!$B$4:$B$503,$B82,'Human Time Log'!$D$4:$D$503,"Meeting")+SUMIFS('Human Time Log'!$H$4:$H$503,'Human Time Log'!$A$4:$A$503,$A82,'Human Time Log'!$B$4:$B$503,$B82,'Human Time Log'!$D$4:$D$503,"Other"))</x:f>
      </x:c>
      <x:c r="M82" s="138" t="str">
        <x:f>IF(OR(C82="",D82=""),"",D82-C82)</x:f>
      </x:c>
      <x:c r="N82" s="141"/>
    </x:row>
    <x:row r="83">
      <x:c r="A83" s="139"/>
      <x:c r="B83" s="117"/>
      <x:c r="C83" s="160"/>
      <x:c r="D83" s="138" t="str">
        <x:f>IF(OR(A83="",B83=""),"",SUMIFS('Human Time Log'!$H$4:$H$503,'Human Time Log'!$A$4:$A$503,A83,'Human Time Log'!$B$4:$B$503,B83))</x:f>
      </x:c>
      <x:c r="E83" s="138" t="str">
        <x:f>IF(OR($A83="",$B83=""),"",SUMIFS('Human Time Log'!$H$4:$H$503,'Human Time Log'!$A$4:$A$503,$A83,'Human Time Log'!$B$4:$B$503,$B83,'Human Time Log'!$D$4:$D$503,"Analysis &amp; Prompting"))</x:f>
      </x:c>
      <x:c r="F83" s="138" t="str">
        <x:f>IF(OR($A83="",$B83=""),"",SUMIFS('Human Time Log'!$H$4:$H$503,'Human Time Log'!$A$4:$A$503,$A83,'Human Time Log'!$B$4:$B$503,$B83,'Human Time Log'!$D$4:$D$503,"Agent Supervision"))</x:f>
      </x:c>
      <x:c r="G83" s="138" t="str">
        <x:f>IF(OR($A83="",$B83=""),"",SUMIFS('Human Time Log'!$H$4:$H$503,'Human Time Log'!$A$4:$A$503,$A83,'Human Time Log'!$B$4:$B$503,$B83,'Human Time Log'!$D$4:$D$503,"Human Review"))</x:f>
      </x:c>
      <x:c r="H83" s="138" t="str">
        <x:f>IF(OR($A83="",$B83=""),"",SUMIFS('Human Time Log'!$H$4:$H$503,'Human Time Log'!$A$4:$A$503,$A83,'Human Time Log'!$B$4:$B$503,$B83,'Human Time Log'!$D$4:$D$503,"Testing / Acceptance"))</x:f>
      </x:c>
      <x:c r="I83" s="138" t="str">
        <x:f>IF(OR($A83="",$B83=""),"",SUMIFS('Human Time Log'!$H$4:$H$503,'Human Time Log'!$A$4:$A$503,$A83,'Human Time Log'!$B$4:$B$503,$B83,'Human Time Log'!$D$4:$D$503,"Fix / Rework"))</x:f>
      </x:c>
      <x:c r="J83" s="138" t="str">
        <x:f>IF(OR($A83="",$B83=""),"",SUMIFS('Human Time Log'!$H$4:$H$503,'Human Time Log'!$A$4:$A$503,$A83,'Human Time Log'!$B$4:$B$503,$B83,'Human Time Log'!$D$4:$D$503,"Integration / Deployment"))</x:f>
      </x:c>
      <x:c r="K83" s="138" t="str">
        <x:f>IF(OR($A83="",$B83=""),"",SUMIFS('Human Time Log'!$H$4:$H$503,'Human Time Log'!$A$4:$A$503,$A83,'Human Time Log'!$B$4:$B$503,$B83,'Human Time Log'!$D$4:$D$503,"PM / Documentation"))</x:f>
      </x:c>
      <x:c r="L83" s="138" t="str">
        <x:f>IF(OR($A83="",$B83=""),"",SUMIFS('Human Time Log'!$H$4:$H$503,'Human Time Log'!$A$4:$A$503,$A83,'Human Time Log'!$B$4:$B$503,$B83,'Human Time Log'!$D$4:$D$503,"Meeting")+SUMIFS('Human Time Log'!$H$4:$H$503,'Human Time Log'!$A$4:$A$503,$A83,'Human Time Log'!$B$4:$B$503,$B83,'Human Time Log'!$D$4:$D$503,"Other"))</x:f>
      </x:c>
      <x:c r="M83" s="138" t="str">
        <x:f>IF(OR(C83="",D83=""),"",D83-C83)</x:f>
      </x:c>
      <x:c r="N83" s="141"/>
    </x:row>
    <x:row r="84">
      <x:c r="A84" s="139"/>
      <x:c r="B84" s="117"/>
      <x:c r="C84" s="160"/>
      <x:c r="D84" s="138" t="str">
        <x:f>IF(OR(A84="",B84=""),"",SUMIFS('Human Time Log'!$H$4:$H$503,'Human Time Log'!$A$4:$A$503,A84,'Human Time Log'!$B$4:$B$503,B84))</x:f>
      </x:c>
      <x:c r="E84" s="138" t="str">
        <x:f>IF(OR($A84="",$B84=""),"",SUMIFS('Human Time Log'!$H$4:$H$503,'Human Time Log'!$A$4:$A$503,$A84,'Human Time Log'!$B$4:$B$503,$B84,'Human Time Log'!$D$4:$D$503,"Analysis &amp; Prompting"))</x:f>
      </x:c>
      <x:c r="F84" s="138" t="str">
        <x:f>IF(OR($A84="",$B84=""),"",SUMIFS('Human Time Log'!$H$4:$H$503,'Human Time Log'!$A$4:$A$503,$A84,'Human Time Log'!$B$4:$B$503,$B84,'Human Time Log'!$D$4:$D$503,"Agent Supervision"))</x:f>
      </x:c>
      <x:c r="G84" s="138" t="str">
        <x:f>IF(OR($A84="",$B84=""),"",SUMIFS('Human Time Log'!$H$4:$H$503,'Human Time Log'!$A$4:$A$503,$A84,'Human Time Log'!$B$4:$B$503,$B84,'Human Time Log'!$D$4:$D$503,"Human Review"))</x:f>
      </x:c>
      <x:c r="H84" s="138" t="str">
        <x:f>IF(OR($A84="",$B84=""),"",SUMIFS('Human Time Log'!$H$4:$H$503,'Human Time Log'!$A$4:$A$503,$A84,'Human Time Log'!$B$4:$B$503,$B84,'Human Time Log'!$D$4:$D$503,"Testing / Acceptance"))</x:f>
      </x:c>
      <x:c r="I84" s="138" t="str">
        <x:f>IF(OR($A84="",$B84=""),"",SUMIFS('Human Time Log'!$H$4:$H$503,'Human Time Log'!$A$4:$A$503,$A84,'Human Time Log'!$B$4:$B$503,$B84,'Human Time Log'!$D$4:$D$503,"Fix / Rework"))</x:f>
      </x:c>
      <x:c r="J84" s="138" t="str">
        <x:f>IF(OR($A84="",$B84=""),"",SUMIFS('Human Time Log'!$H$4:$H$503,'Human Time Log'!$A$4:$A$503,$A84,'Human Time Log'!$B$4:$B$503,$B84,'Human Time Log'!$D$4:$D$503,"Integration / Deployment"))</x:f>
      </x:c>
      <x:c r="K84" s="138" t="str">
        <x:f>IF(OR($A84="",$B84=""),"",SUMIFS('Human Time Log'!$H$4:$H$503,'Human Time Log'!$A$4:$A$503,$A84,'Human Time Log'!$B$4:$B$503,$B84,'Human Time Log'!$D$4:$D$503,"PM / Documentation"))</x:f>
      </x:c>
      <x:c r="L84" s="138" t="str">
        <x:f>IF(OR($A84="",$B84=""),"",SUMIFS('Human Time Log'!$H$4:$H$503,'Human Time Log'!$A$4:$A$503,$A84,'Human Time Log'!$B$4:$B$503,$B84,'Human Time Log'!$D$4:$D$503,"Meeting")+SUMIFS('Human Time Log'!$H$4:$H$503,'Human Time Log'!$A$4:$A$503,$A84,'Human Time Log'!$B$4:$B$503,$B84,'Human Time Log'!$D$4:$D$503,"Other"))</x:f>
      </x:c>
      <x:c r="M84" s="138" t="str">
        <x:f>IF(OR(C84="",D84=""),"",D84-C84)</x:f>
      </x:c>
      <x:c r="N84" s="141"/>
    </x:row>
    <x:row r="85">
      <x:c r="A85" s="139"/>
      <x:c r="B85" s="117"/>
      <x:c r="C85" s="160"/>
      <x:c r="D85" s="138" t="str">
        <x:f>IF(OR(A85="",B85=""),"",SUMIFS('Human Time Log'!$H$4:$H$503,'Human Time Log'!$A$4:$A$503,A85,'Human Time Log'!$B$4:$B$503,B85))</x:f>
      </x:c>
      <x:c r="E85" s="138" t="str">
        <x:f>IF(OR($A85="",$B85=""),"",SUMIFS('Human Time Log'!$H$4:$H$503,'Human Time Log'!$A$4:$A$503,$A85,'Human Time Log'!$B$4:$B$503,$B85,'Human Time Log'!$D$4:$D$503,"Analysis &amp; Prompting"))</x:f>
      </x:c>
      <x:c r="F85" s="138" t="str">
        <x:f>IF(OR($A85="",$B85=""),"",SUMIFS('Human Time Log'!$H$4:$H$503,'Human Time Log'!$A$4:$A$503,$A85,'Human Time Log'!$B$4:$B$503,$B85,'Human Time Log'!$D$4:$D$503,"Agent Supervision"))</x:f>
      </x:c>
      <x:c r="G85" s="138" t="str">
        <x:f>IF(OR($A85="",$B85=""),"",SUMIFS('Human Time Log'!$H$4:$H$503,'Human Time Log'!$A$4:$A$503,$A85,'Human Time Log'!$B$4:$B$503,$B85,'Human Time Log'!$D$4:$D$503,"Human Review"))</x:f>
      </x:c>
      <x:c r="H85" s="138" t="str">
        <x:f>IF(OR($A85="",$B85=""),"",SUMIFS('Human Time Log'!$H$4:$H$503,'Human Time Log'!$A$4:$A$503,$A85,'Human Time Log'!$B$4:$B$503,$B85,'Human Time Log'!$D$4:$D$503,"Testing / Acceptance"))</x:f>
      </x:c>
      <x:c r="I85" s="138" t="str">
        <x:f>IF(OR($A85="",$B85=""),"",SUMIFS('Human Time Log'!$H$4:$H$503,'Human Time Log'!$A$4:$A$503,$A85,'Human Time Log'!$B$4:$B$503,$B85,'Human Time Log'!$D$4:$D$503,"Fix / Rework"))</x:f>
      </x:c>
      <x:c r="J85" s="138" t="str">
        <x:f>IF(OR($A85="",$B85=""),"",SUMIFS('Human Time Log'!$H$4:$H$503,'Human Time Log'!$A$4:$A$503,$A85,'Human Time Log'!$B$4:$B$503,$B85,'Human Time Log'!$D$4:$D$503,"Integration / Deployment"))</x:f>
      </x:c>
      <x:c r="K85" s="138" t="str">
        <x:f>IF(OR($A85="",$B85=""),"",SUMIFS('Human Time Log'!$H$4:$H$503,'Human Time Log'!$A$4:$A$503,$A85,'Human Time Log'!$B$4:$B$503,$B85,'Human Time Log'!$D$4:$D$503,"PM / Documentation"))</x:f>
      </x:c>
      <x:c r="L85" s="138" t="str">
        <x:f>IF(OR($A85="",$B85=""),"",SUMIFS('Human Time Log'!$H$4:$H$503,'Human Time Log'!$A$4:$A$503,$A85,'Human Time Log'!$B$4:$B$503,$B85,'Human Time Log'!$D$4:$D$503,"Meeting")+SUMIFS('Human Time Log'!$H$4:$H$503,'Human Time Log'!$A$4:$A$503,$A85,'Human Time Log'!$B$4:$B$503,$B85,'Human Time Log'!$D$4:$D$503,"Other"))</x:f>
      </x:c>
      <x:c r="M85" s="138" t="str">
        <x:f>IF(OR(C85="",D85=""),"",D85-C85)</x:f>
      </x:c>
      <x:c r="N85" s="141"/>
    </x:row>
    <x:row r="86">
      <x:c r="A86" s="139"/>
      <x:c r="B86" s="117"/>
      <x:c r="C86" s="160"/>
      <x:c r="D86" s="138" t="str">
        <x:f>IF(OR(A86="",B86=""),"",SUMIFS('Human Time Log'!$H$4:$H$503,'Human Time Log'!$A$4:$A$503,A86,'Human Time Log'!$B$4:$B$503,B86))</x:f>
      </x:c>
      <x:c r="E86" s="138" t="str">
        <x:f>IF(OR($A86="",$B86=""),"",SUMIFS('Human Time Log'!$H$4:$H$503,'Human Time Log'!$A$4:$A$503,$A86,'Human Time Log'!$B$4:$B$503,$B86,'Human Time Log'!$D$4:$D$503,"Analysis &amp; Prompting"))</x:f>
      </x:c>
      <x:c r="F86" s="138" t="str">
        <x:f>IF(OR($A86="",$B86=""),"",SUMIFS('Human Time Log'!$H$4:$H$503,'Human Time Log'!$A$4:$A$503,$A86,'Human Time Log'!$B$4:$B$503,$B86,'Human Time Log'!$D$4:$D$503,"Agent Supervision"))</x:f>
      </x:c>
      <x:c r="G86" s="138" t="str">
        <x:f>IF(OR($A86="",$B86=""),"",SUMIFS('Human Time Log'!$H$4:$H$503,'Human Time Log'!$A$4:$A$503,$A86,'Human Time Log'!$B$4:$B$503,$B86,'Human Time Log'!$D$4:$D$503,"Human Review"))</x:f>
      </x:c>
      <x:c r="H86" s="138" t="str">
        <x:f>IF(OR($A86="",$B86=""),"",SUMIFS('Human Time Log'!$H$4:$H$503,'Human Time Log'!$A$4:$A$503,$A86,'Human Time Log'!$B$4:$B$503,$B86,'Human Time Log'!$D$4:$D$503,"Testing / Acceptance"))</x:f>
      </x:c>
      <x:c r="I86" s="138" t="str">
        <x:f>IF(OR($A86="",$B86=""),"",SUMIFS('Human Time Log'!$H$4:$H$503,'Human Time Log'!$A$4:$A$503,$A86,'Human Time Log'!$B$4:$B$503,$B86,'Human Time Log'!$D$4:$D$503,"Fix / Rework"))</x:f>
      </x:c>
      <x:c r="J86" s="138" t="str">
        <x:f>IF(OR($A86="",$B86=""),"",SUMIFS('Human Time Log'!$H$4:$H$503,'Human Time Log'!$A$4:$A$503,$A86,'Human Time Log'!$B$4:$B$503,$B86,'Human Time Log'!$D$4:$D$503,"Integration / Deployment"))</x:f>
      </x:c>
      <x:c r="K86" s="138" t="str">
        <x:f>IF(OR($A86="",$B86=""),"",SUMIFS('Human Time Log'!$H$4:$H$503,'Human Time Log'!$A$4:$A$503,$A86,'Human Time Log'!$B$4:$B$503,$B86,'Human Time Log'!$D$4:$D$503,"PM / Documentation"))</x:f>
      </x:c>
      <x:c r="L86" s="138" t="str">
        <x:f>IF(OR($A86="",$B86=""),"",SUMIFS('Human Time Log'!$H$4:$H$503,'Human Time Log'!$A$4:$A$503,$A86,'Human Time Log'!$B$4:$B$503,$B86,'Human Time Log'!$D$4:$D$503,"Meeting")+SUMIFS('Human Time Log'!$H$4:$H$503,'Human Time Log'!$A$4:$A$503,$A86,'Human Time Log'!$B$4:$B$503,$B86,'Human Time Log'!$D$4:$D$503,"Other"))</x:f>
      </x:c>
      <x:c r="M86" s="138" t="str">
        <x:f>IF(OR(C86="",D86=""),"",D86-C86)</x:f>
      </x:c>
      <x:c r="N86" s="141"/>
    </x:row>
    <x:row r="87">
      <x:c r="A87" s="139"/>
      <x:c r="B87" s="117"/>
      <x:c r="C87" s="160"/>
      <x:c r="D87" s="138" t="str">
        <x:f>IF(OR(A87="",B87=""),"",SUMIFS('Human Time Log'!$H$4:$H$503,'Human Time Log'!$A$4:$A$503,A87,'Human Time Log'!$B$4:$B$503,B87))</x:f>
      </x:c>
      <x:c r="E87" s="138" t="str">
        <x:f>IF(OR($A87="",$B87=""),"",SUMIFS('Human Time Log'!$H$4:$H$503,'Human Time Log'!$A$4:$A$503,$A87,'Human Time Log'!$B$4:$B$503,$B87,'Human Time Log'!$D$4:$D$503,"Analysis &amp; Prompting"))</x:f>
      </x:c>
      <x:c r="F87" s="138" t="str">
        <x:f>IF(OR($A87="",$B87=""),"",SUMIFS('Human Time Log'!$H$4:$H$503,'Human Time Log'!$A$4:$A$503,$A87,'Human Time Log'!$B$4:$B$503,$B87,'Human Time Log'!$D$4:$D$503,"Agent Supervision"))</x:f>
      </x:c>
      <x:c r="G87" s="138" t="str">
        <x:f>IF(OR($A87="",$B87=""),"",SUMIFS('Human Time Log'!$H$4:$H$503,'Human Time Log'!$A$4:$A$503,$A87,'Human Time Log'!$B$4:$B$503,$B87,'Human Time Log'!$D$4:$D$503,"Human Review"))</x:f>
      </x:c>
      <x:c r="H87" s="138" t="str">
        <x:f>IF(OR($A87="",$B87=""),"",SUMIFS('Human Time Log'!$H$4:$H$503,'Human Time Log'!$A$4:$A$503,$A87,'Human Time Log'!$B$4:$B$503,$B87,'Human Time Log'!$D$4:$D$503,"Testing / Acceptance"))</x:f>
      </x:c>
      <x:c r="I87" s="138" t="str">
        <x:f>IF(OR($A87="",$B87=""),"",SUMIFS('Human Time Log'!$H$4:$H$503,'Human Time Log'!$A$4:$A$503,$A87,'Human Time Log'!$B$4:$B$503,$B87,'Human Time Log'!$D$4:$D$503,"Fix / Rework"))</x:f>
      </x:c>
      <x:c r="J87" s="138" t="str">
        <x:f>IF(OR($A87="",$B87=""),"",SUMIFS('Human Time Log'!$H$4:$H$503,'Human Time Log'!$A$4:$A$503,$A87,'Human Time Log'!$B$4:$B$503,$B87,'Human Time Log'!$D$4:$D$503,"Integration / Deployment"))</x:f>
      </x:c>
      <x:c r="K87" s="138" t="str">
        <x:f>IF(OR($A87="",$B87=""),"",SUMIFS('Human Time Log'!$H$4:$H$503,'Human Time Log'!$A$4:$A$503,$A87,'Human Time Log'!$B$4:$B$503,$B87,'Human Time Log'!$D$4:$D$503,"PM / Documentation"))</x:f>
      </x:c>
      <x:c r="L87" s="138" t="str">
        <x:f>IF(OR($A87="",$B87=""),"",SUMIFS('Human Time Log'!$H$4:$H$503,'Human Time Log'!$A$4:$A$503,$A87,'Human Time Log'!$B$4:$B$503,$B87,'Human Time Log'!$D$4:$D$503,"Meeting")+SUMIFS('Human Time Log'!$H$4:$H$503,'Human Time Log'!$A$4:$A$503,$A87,'Human Time Log'!$B$4:$B$503,$B87,'Human Time Log'!$D$4:$D$503,"Other"))</x:f>
      </x:c>
      <x:c r="M87" s="138" t="str">
        <x:f>IF(OR(C87="",D87=""),"",D87-C87)</x:f>
      </x:c>
      <x:c r="N87" s="141"/>
    </x:row>
    <x:row r="88">
      <x:c r="A88" s="139"/>
      <x:c r="B88" s="117"/>
      <x:c r="C88" s="160"/>
      <x:c r="D88" s="138" t="str">
        <x:f>IF(OR(A88="",B88=""),"",SUMIFS('Human Time Log'!$H$4:$H$503,'Human Time Log'!$A$4:$A$503,A88,'Human Time Log'!$B$4:$B$503,B88))</x:f>
      </x:c>
      <x:c r="E88" s="138" t="str">
        <x:f>IF(OR($A88="",$B88=""),"",SUMIFS('Human Time Log'!$H$4:$H$503,'Human Time Log'!$A$4:$A$503,$A88,'Human Time Log'!$B$4:$B$503,$B88,'Human Time Log'!$D$4:$D$503,"Analysis &amp; Prompting"))</x:f>
      </x:c>
      <x:c r="F88" s="138" t="str">
        <x:f>IF(OR($A88="",$B88=""),"",SUMIFS('Human Time Log'!$H$4:$H$503,'Human Time Log'!$A$4:$A$503,$A88,'Human Time Log'!$B$4:$B$503,$B88,'Human Time Log'!$D$4:$D$503,"Agent Supervision"))</x:f>
      </x:c>
      <x:c r="G88" s="138" t="str">
        <x:f>IF(OR($A88="",$B88=""),"",SUMIFS('Human Time Log'!$H$4:$H$503,'Human Time Log'!$A$4:$A$503,$A88,'Human Time Log'!$B$4:$B$503,$B88,'Human Time Log'!$D$4:$D$503,"Human Review"))</x:f>
      </x:c>
      <x:c r="H88" s="138" t="str">
        <x:f>IF(OR($A88="",$B88=""),"",SUMIFS('Human Time Log'!$H$4:$H$503,'Human Time Log'!$A$4:$A$503,$A88,'Human Time Log'!$B$4:$B$503,$B88,'Human Time Log'!$D$4:$D$503,"Testing / Acceptance"))</x:f>
      </x:c>
      <x:c r="I88" s="138" t="str">
        <x:f>IF(OR($A88="",$B88=""),"",SUMIFS('Human Time Log'!$H$4:$H$503,'Human Time Log'!$A$4:$A$503,$A88,'Human Time Log'!$B$4:$B$503,$B88,'Human Time Log'!$D$4:$D$503,"Fix / Rework"))</x:f>
      </x:c>
      <x:c r="J88" s="138" t="str">
        <x:f>IF(OR($A88="",$B88=""),"",SUMIFS('Human Time Log'!$H$4:$H$503,'Human Time Log'!$A$4:$A$503,$A88,'Human Time Log'!$B$4:$B$503,$B88,'Human Time Log'!$D$4:$D$503,"Integration / Deployment"))</x:f>
      </x:c>
      <x:c r="K88" s="138" t="str">
        <x:f>IF(OR($A88="",$B88=""),"",SUMIFS('Human Time Log'!$H$4:$H$503,'Human Time Log'!$A$4:$A$503,$A88,'Human Time Log'!$B$4:$B$503,$B88,'Human Time Log'!$D$4:$D$503,"PM / Documentation"))</x:f>
      </x:c>
      <x:c r="L88" s="138" t="str">
        <x:f>IF(OR($A88="",$B88=""),"",SUMIFS('Human Time Log'!$H$4:$H$503,'Human Time Log'!$A$4:$A$503,$A88,'Human Time Log'!$B$4:$B$503,$B88,'Human Time Log'!$D$4:$D$503,"Meeting")+SUMIFS('Human Time Log'!$H$4:$H$503,'Human Time Log'!$A$4:$A$503,$A88,'Human Time Log'!$B$4:$B$503,$B88,'Human Time Log'!$D$4:$D$503,"Other"))</x:f>
      </x:c>
      <x:c r="M88" s="138" t="str">
        <x:f>IF(OR(C88="",D88=""),"",D88-C88)</x:f>
      </x:c>
      <x:c r="N88" s="141"/>
    </x:row>
    <x:row r="89">
      <x:c r="A89" s="139"/>
      <x:c r="B89" s="117"/>
      <x:c r="C89" s="160"/>
      <x:c r="D89" s="138" t="str">
        <x:f>IF(OR(A89="",B89=""),"",SUMIFS('Human Time Log'!$H$4:$H$503,'Human Time Log'!$A$4:$A$503,A89,'Human Time Log'!$B$4:$B$503,B89))</x:f>
      </x:c>
      <x:c r="E89" s="138" t="str">
        <x:f>IF(OR($A89="",$B89=""),"",SUMIFS('Human Time Log'!$H$4:$H$503,'Human Time Log'!$A$4:$A$503,$A89,'Human Time Log'!$B$4:$B$503,$B89,'Human Time Log'!$D$4:$D$503,"Analysis &amp; Prompting"))</x:f>
      </x:c>
      <x:c r="F89" s="138" t="str">
        <x:f>IF(OR($A89="",$B89=""),"",SUMIFS('Human Time Log'!$H$4:$H$503,'Human Time Log'!$A$4:$A$503,$A89,'Human Time Log'!$B$4:$B$503,$B89,'Human Time Log'!$D$4:$D$503,"Agent Supervision"))</x:f>
      </x:c>
      <x:c r="G89" s="138" t="str">
        <x:f>IF(OR($A89="",$B89=""),"",SUMIFS('Human Time Log'!$H$4:$H$503,'Human Time Log'!$A$4:$A$503,$A89,'Human Time Log'!$B$4:$B$503,$B89,'Human Time Log'!$D$4:$D$503,"Human Review"))</x:f>
      </x:c>
      <x:c r="H89" s="138" t="str">
        <x:f>IF(OR($A89="",$B89=""),"",SUMIFS('Human Time Log'!$H$4:$H$503,'Human Time Log'!$A$4:$A$503,$A89,'Human Time Log'!$B$4:$B$503,$B89,'Human Time Log'!$D$4:$D$503,"Testing / Acceptance"))</x:f>
      </x:c>
      <x:c r="I89" s="138" t="str">
        <x:f>IF(OR($A89="",$B89=""),"",SUMIFS('Human Time Log'!$H$4:$H$503,'Human Time Log'!$A$4:$A$503,$A89,'Human Time Log'!$B$4:$B$503,$B89,'Human Time Log'!$D$4:$D$503,"Fix / Rework"))</x:f>
      </x:c>
      <x:c r="J89" s="138" t="str">
        <x:f>IF(OR($A89="",$B89=""),"",SUMIFS('Human Time Log'!$H$4:$H$503,'Human Time Log'!$A$4:$A$503,$A89,'Human Time Log'!$B$4:$B$503,$B89,'Human Time Log'!$D$4:$D$503,"Integration / Deployment"))</x:f>
      </x:c>
      <x:c r="K89" s="138" t="str">
        <x:f>IF(OR($A89="",$B89=""),"",SUMIFS('Human Time Log'!$H$4:$H$503,'Human Time Log'!$A$4:$A$503,$A89,'Human Time Log'!$B$4:$B$503,$B89,'Human Time Log'!$D$4:$D$503,"PM / Documentation"))</x:f>
      </x:c>
      <x:c r="L89" s="138" t="str">
        <x:f>IF(OR($A89="",$B89=""),"",SUMIFS('Human Time Log'!$H$4:$H$503,'Human Time Log'!$A$4:$A$503,$A89,'Human Time Log'!$B$4:$B$503,$B89,'Human Time Log'!$D$4:$D$503,"Meeting")+SUMIFS('Human Time Log'!$H$4:$H$503,'Human Time Log'!$A$4:$A$503,$A89,'Human Time Log'!$B$4:$B$503,$B89,'Human Time Log'!$D$4:$D$503,"Other"))</x:f>
      </x:c>
      <x:c r="M89" s="138" t="str">
        <x:f>IF(OR(C89="",D89=""),"",D89-C89)</x:f>
      </x:c>
      <x:c r="N89" s="141"/>
    </x:row>
    <x:row r="90">
      <x:c r="A90" s="139"/>
      <x:c r="B90" s="117"/>
      <x:c r="C90" s="160"/>
      <x:c r="D90" s="138" t="str">
        <x:f>IF(OR(A90="",B90=""),"",SUMIFS('Human Time Log'!$H$4:$H$503,'Human Time Log'!$A$4:$A$503,A90,'Human Time Log'!$B$4:$B$503,B90))</x:f>
      </x:c>
      <x:c r="E90" s="138" t="str">
        <x:f>IF(OR($A90="",$B90=""),"",SUMIFS('Human Time Log'!$H$4:$H$503,'Human Time Log'!$A$4:$A$503,$A90,'Human Time Log'!$B$4:$B$503,$B90,'Human Time Log'!$D$4:$D$503,"Analysis &amp; Prompting"))</x:f>
      </x:c>
      <x:c r="F90" s="138" t="str">
        <x:f>IF(OR($A90="",$B90=""),"",SUMIFS('Human Time Log'!$H$4:$H$503,'Human Time Log'!$A$4:$A$503,$A90,'Human Time Log'!$B$4:$B$503,$B90,'Human Time Log'!$D$4:$D$503,"Agent Supervision"))</x:f>
      </x:c>
      <x:c r="G90" s="138" t="str">
        <x:f>IF(OR($A90="",$B90=""),"",SUMIFS('Human Time Log'!$H$4:$H$503,'Human Time Log'!$A$4:$A$503,$A90,'Human Time Log'!$B$4:$B$503,$B90,'Human Time Log'!$D$4:$D$503,"Human Review"))</x:f>
      </x:c>
      <x:c r="H90" s="138" t="str">
        <x:f>IF(OR($A90="",$B90=""),"",SUMIFS('Human Time Log'!$H$4:$H$503,'Human Time Log'!$A$4:$A$503,$A90,'Human Time Log'!$B$4:$B$503,$B90,'Human Time Log'!$D$4:$D$503,"Testing / Acceptance"))</x:f>
      </x:c>
      <x:c r="I90" s="138" t="str">
        <x:f>IF(OR($A90="",$B90=""),"",SUMIFS('Human Time Log'!$H$4:$H$503,'Human Time Log'!$A$4:$A$503,$A90,'Human Time Log'!$B$4:$B$503,$B90,'Human Time Log'!$D$4:$D$503,"Fix / Rework"))</x:f>
      </x:c>
      <x:c r="J90" s="138" t="str">
        <x:f>IF(OR($A90="",$B90=""),"",SUMIFS('Human Time Log'!$H$4:$H$503,'Human Time Log'!$A$4:$A$503,$A90,'Human Time Log'!$B$4:$B$503,$B90,'Human Time Log'!$D$4:$D$503,"Integration / Deployment"))</x:f>
      </x:c>
      <x:c r="K90" s="138" t="str">
        <x:f>IF(OR($A90="",$B90=""),"",SUMIFS('Human Time Log'!$H$4:$H$503,'Human Time Log'!$A$4:$A$503,$A90,'Human Time Log'!$B$4:$B$503,$B90,'Human Time Log'!$D$4:$D$503,"PM / Documentation"))</x:f>
      </x:c>
      <x:c r="L90" s="138" t="str">
        <x:f>IF(OR($A90="",$B90=""),"",SUMIFS('Human Time Log'!$H$4:$H$503,'Human Time Log'!$A$4:$A$503,$A90,'Human Time Log'!$B$4:$B$503,$B90,'Human Time Log'!$D$4:$D$503,"Meeting")+SUMIFS('Human Time Log'!$H$4:$H$503,'Human Time Log'!$A$4:$A$503,$A90,'Human Time Log'!$B$4:$B$503,$B90,'Human Time Log'!$D$4:$D$503,"Other"))</x:f>
      </x:c>
      <x:c r="M90" s="138" t="str">
        <x:f>IF(OR(C90="",D90=""),"",D90-C90)</x:f>
      </x:c>
      <x:c r="N90" s="141"/>
    </x:row>
    <x:row r="91">
      <x:c r="A91" s="139"/>
      <x:c r="B91" s="117"/>
      <x:c r="C91" s="160"/>
      <x:c r="D91" s="138" t="str">
        <x:f>IF(OR(A91="",B91=""),"",SUMIFS('Human Time Log'!$H$4:$H$503,'Human Time Log'!$A$4:$A$503,A91,'Human Time Log'!$B$4:$B$503,B91))</x:f>
      </x:c>
      <x:c r="E91" s="138" t="str">
        <x:f>IF(OR($A91="",$B91=""),"",SUMIFS('Human Time Log'!$H$4:$H$503,'Human Time Log'!$A$4:$A$503,$A91,'Human Time Log'!$B$4:$B$503,$B91,'Human Time Log'!$D$4:$D$503,"Analysis &amp; Prompting"))</x:f>
      </x:c>
      <x:c r="F91" s="138" t="str">
        <x:f>IF(OR($A91="",$B91=""),"",SUMIFS('Human Time Log'!$H$4:$H$503,'Human Time Log'!$A$4:$A$503,$A91,'Human Time Log'!$B$4:$B$503,$B91,'Human Time Log'!$D$4:$D$503,"Agent Supervision"))</x:f>
      </x:c>
      <x:c r="G91" s="138" t="str">
        <x:f>IF(OR($A91="",$B91=""),"",SUMIFS('Human Time Log'!$H$4:$H$503,'Human Time Log'!$A$4:$A$503,$A91,'Human Time Log'!$B$4:$B$503,$B91,'Human Time Log'!$D$4:$D$503,"Human Review"))</x:f>
      </x:c>
      <x:c r="H91" s="138" t="str">
        <x:f>IF(OR($A91="",$B91=""),"",SUMIFS('Human Time Log'!$H$4:$H$503,'Human Time Log'!$A$4:$A$503,$A91,'Human Time Log'!$B$4:$B$503,$B91,'Human Time Log'!$D$4:$D$503,"Testing / Acceptance"))</x:f>
      </x:c>
      <x:c r="I91" s="138" t="str">
        <x:f>IF(OR($A91="",$B91=""),"",SUMIFS('Human Time Log'!$H$4:$H$503,'Human Time Log'!$A$4:$A$503,$A91,'Human Time Log'!$B$4:$B$503,$B91,'Human Time Log'!$D$4:$D$503,"Fix / Rework"))</x:f>
      </x:c>
      <x:c r="J91" s="138" t="str">
        <x:f>IF(OR($A91="",$B91=""),"",SUMIFS('Human Time Log'!$H$4:$H$503,'Human Time Log'!$A$4:$A$503,$A91,'Human Time Log'!$B$4:$B$503,$B91,'Human Time Log'!$D$4:$D$503,"Integration / Deployment"))</x:f>
      </x:c>
      <x:c r="K91" s="138" t="str">
        <x:f>IF(OR($A91="",$B91=""),"",SUMIFS('Human Time Log'!$H$4:$H$503,'Human Time Log'!$A$4:$A$503,$A91,'Human Time Log'!$B$4:$B$503,$B91,'Human Time Log'!$D$4:$D$503,"PM / Documentation"))</x:f>
      </x:c>
      <x:c r="L91" s="138" t="str">
        <x:f>IF(OR($A91="",$B91=""),"",SUMIFS('Human Time Log'!$H$4:$H$503,'Human Time Log'!$A$4:$A$503,$A91,'Human Time Log'!$B$4:$B$503,$B91,'Human Time Log'!$D$4:$D$503,"Meeting")+SUMIFS('Human Time Log'!$H$4:$H$503,'Human Time Log'!$A$4:$A$503,$A91,'Human Time Log'!$B$4:$B$503,$B91,'Human Time Log'!$D$4:$D$503,"Other"))</x:f>
      </x:c>
      <x:c r="M91" s="138" t="str">
        <x:f>IF(OR(C91="",D91=""),"",D91-C91)</x:f>
      </x:c>
      <x:c r="N91" s="141"/>
    </x:row>
    <x:row r="92">
      <x:c r="A92" s="139"/>
      <x:c r="B92" s="117"/>
      <x:c r="C92" s="160"/>
      <x:c r="D92" s="138" t="str">
        <x:f>IF(OR(A92="",B92=""),"",SUMIFS('Human Time Log'!$H$4:$H$503,'Human Time Log'!$A$4:$A$503,A92,'Human Time Log'!$B$4:$B$503,B92))</x:f>
      </x:c>
      <x:c r="E92" s="138" t="str">
        <x:f>IF(OR($A92="",$B92=""),"",SUMIFS('Human Time Log'!$H$4:$H$503,'Human Time Log'!$A$4:$A$503,$A92,'Human Time Log'!$B$4:$B$503,$B92,'Human Time Log'!$D$4:$D$503,"Analysis &amp; Prompting"))</x:f>
      </x:c>
      <x:c r="F92" s="138" t="str">
        <x:f>IF(OR($A92="",$B92=""),"",SUMIFS('Human Time Log'!$H$4:$H$503,'Human Time Log'!$A$4:$A$503,$A92,'Human Time Log'!$B$4:$B$503,$B92,'Human Time Log'!$D$4:$D$503,"Agent Supervision"))</x:f>
      </x:c>
      <x:c r="G92" s="138" t="str">
        <x:f>IF(OR($A92="",$B92=""),"",SUMIFS('Human Time Log'!$H$4:$H$503,'Human Time Log'!$A$4:$A$503,$A92,'Human Time Log'!$B$4:$B$503,$B92,'Human Time Log'!$D$4:$D$503,"Human Review"))</x:f>
      </x:c>
      <x:c r="H92" s="138" t="str">
        <x:f>IF(OR($A92="",$B92=""),"",SUMIFS('Human Time Log'!$H$4:$H$503,'Human Time Log'!$A$4:$A$503,$A92,'Human Time Log'!$B$4:$B$503,$B92,'Human Time Log'!$D$4:$D$503,"Testing / Acceptance"))</x:f>
      </x:c>
      <x:c r="I92" s="138" t="str">
        <x:f>IF(OR($A92="",$B92=""),"",SUMIFS('Human Time Log'!$H$4:$H$503,'Human Time Log'!$A$4:$A$503,$A92,'Human Time Log'!$B$4:$B$503,$B92,'Human Time Log'!$D$4:$D$503,"Fix / Rework"))</x:f>
      </x:c>
      <x:c r="J92" s="138" t="str">
        <x:f>IF(OR($A92="",$B92=""),"",SUMIFS('Human Time Log'!$H$4:$H$503,'Human Time Log'!$A$4:$A$503,$A92,'Human Time Log'!$B$4:$B$503,$B92,'Human Time Log'!$D$4:$D$503,"Integration / Deployment"))</x:f>
      </x:c>
      <x:c r="K92" s="138" t="str">
        <x:f>IF(OR($A92="",$B92=""),"",SUMIFS('Human Time Log'!$H$4:$H$503,'Human Time Log'!$A$4:$A$503,$A92,'Human Time Log'!$B$4:$B$503,$B92,'Human Time Log'!$D$4:$D$503,"PM / Documentation"))</x:f>
      </x:c>
      <x:c r="L92" s="138" t="str">
        <x:f>IF(OR($A92="",$B92=""),"",SUMIFS('Human Time Log'!$H$4:$H$503,'Human Time Log'!$A$4:$A$503,$A92,'Human Time Log'!$B$4:$B$503,$B92,'Human Time Log'!$D$4:$D$503,"Meeting")+SUMIFS('Human Time Log'!$H$4:$H$503,'Human Time Log'!$A$4:$A$503,$A92,'Human Time Log'!$B$4:$B$503,$B92,'Human Time Log'!$D$4:$D$503,"Other"))</x:f>
      </x:c>
      <x:c r="M92" s="138" t="str">
        <x:f>IF(OR(C92="",D92=""),"",D92-C92)</x:f>
      </x:c>
      <x:c r="N92" s="141"/>
    </x:row>
    <x:row r="93">
      <x:c r="A93" s="139"/>
      <x:c r="B93" s="117"/>
      <x:c r="C93" s="160"/>
      <x:c r="D93" s="138" t="str">
        <x:f>IF(OR(A93="",B93=""),"",SUMIFS('Human Time Log'!$H$4:$H$503,'Human Time Log'!$A$4:$A$503,A93,'Human Time Log'!$B$4:$B$503,B93))</x:f>
      </x:c>
      <x:c r="E93" s="138" t="str">
        <x:f>IF(OR($A93="",$B93=""),"",SUMIFS('Human Time Log'!$H$4:$H$503,'Human Time Log'!$A$4:$A$503,$A93,'Human Time Log'!$B$4:$B$503,$B93,'Human Time Log'!$D$4:$D$503,"Analysis &amp; Prompting"))</x:f>
      </x:c>
      <x:c r="F93" s="138" t="str">
        <x:f>IF(OR($A93="",$B93=""),"",SUMIFS('Human Time Log'!$H$4:$H$503,'Human Time Log'!$A$4:$A$503,$A93,'Human Time Log'!$B$4:$B$503,$B93,'Human Time Log'!$D$4:$D$503,"Agent Supervision"))</x:f>
      </x:c>
      <x:c r="G93" s="138" t="str">
        <x:f>IF(OR($A93="",$B93=""),"",SUMIFS('Human Time Log'!$H$4:$H$503,'Human Time Log'!$A$4:$A$503,$A93,'Human Time Log'!$B$4:$B$503,$B93,'Human Time Log'!$D$4:$D$503,"Human Review"))</x:f>
      </x:c>
      <x:c r="H93" s="138" t="str">
        <x:f>IF(OR($A93="",$B93=""),"",SUMIFS('Human Time Log'!$H$4:$H$503,'Human Time Log'!$A$4:$A$503,$A93,'Human Time Log'!$B$4:$B$503,$B93,'Human Time Log'!$D$4:$D$503,"Testing / Acceptance"))</x:f>
      </x:c>
      <x:c r="I93" s="138" t="str">
        <x:f>IF(OR($A93="",$B93=""),"",SUMIFS('Human Time Log'!$H$4:$H$503,'Human Time Log'!$A$4:$A$503,$A93,'Human Time Log'!$B$4:$B$503,$B93,'Human Time Log'!$D$4:$D$503,"Fix / Rework"))</x:f>
      </x:c>
      <x:c r="J93" s="138" t="str">
        <x:f>IF(OR($A93="",$B93=""),"",SUMIFS('Human Time Log'!$H$4:$H$503,'Human Time Log'!$A$4:$A$503,$A93,'Human Time Log'!$B$4:$B$503,$B93,'Human Time Log'!$D$4:$D$503,"Integration / Deployment"))</x:f>
      </x:c>
      <x:c r="K93" s="138" t="str">
        <x:f>IF(OR($A93="",$B93=""),"",SUMIFS('Human Time Log'!$H$4:$H$503,'Human Time Log'!$A$4:$A$503,$A93,'Human Time Log'!$B$4:$B$503,$B93,'Human Time Log'!$D$4:$D$503,"PM / Documentation"))</x:f>
      </x:c>
      <x:c r="L93" s="138" t="str">
        <x:f>IF(OR($A93="",$B93=""),"",SUMIFS('Human Time Log'!$H$4:$H$503,'Human Time Log'!$A$4:$A$503,$A93,'Human Time Log'!$B$4:$B$503,$B93,'Human Time Log'!$D$4:$D$503,"Meeting")+SUMIFS('Human Time Log'!$H$4:$H$503,'Human Time Log'!$A$4:$A$503,$A93,'Human Time Log'!$B$4:$B$503,$B93,'Human Time Log'!$D$4:$D$503,"Other"))</x:f>
      </x:c>
      <x:c r="M93" s="138" t="str">
        <x:f>IF(OR(C93="",D93=""),"",D93-C93)</x:f>
      </x:c>
      <x:c r="N93" s="141"/>
    </x:row>
    <x:row r="94">
      <x:c r="A94" s="139"/>
      <x:c r="B94" s="117"/>
      <x:c r="C94" s="160"/>
      <x:c r="D94" s="138" t="str">
        <x:f>IF(OR(A94="",B94=""),"",SUMIFS('Human Time Log'!$H$4:$H$503,'Human Time Log'!$A$4:$A$503,A94,'Human Time Log'!$B$4:$B$503,B94))</x:f>
      </x:c>
      <x:c r="E94" s="138" t="str">
        <x:f>IF(OR($A94="",$B94=""),"",SUMIFS('Human Time Log'!$H$4:$H$503,'Human Time Log'!$A$4:$A$503,$A94,'Human Time Log'!$B$4:$B$503,$B94,'Human Time Log'!$D$4:$D$503,"Analysis &amp; Prompting"))</x:f>
      </x:c>
      <x:c r="F94" s="138" t="str">
        <x:f>IF(OR($A94="",$B94=""),"",SUMIFS('Human Time Log'!$H$4:$H$503,'Human Time Log'!$A$4:$A$503,$A94,'Human Time Log'!$B$4:$B$503,$B94,'Human Time Log'!$D$4:$D$503,"Agent Supervision"))</x:f>
      </x:c>
      <x:c r="G94" s="138" t="str">
        <x:f>IF(OR($A94="",$B94=""),"",SUMIFS('Human Time Log'!$H$4:$H$503,'Human Time Log'!$A$4:$A$503,$A94,'Human Time Log'!$B$4:$B$503,$B94,'Human Time Log'!$D$4:$D$503,"Human Review"))</x:f>
      </x:c>
      <x:c r="H94" s="138" t="str">
        <x:f>IF(OR($A94="",$B94=""),"",SUMIFS('Human Time Log'!$H$4:$H$503,'Human Time Log'!$A$4:$A$503,$A94,'Human Time Log'!$B$4:$B$503,$B94,'Human Time Log'!$D$4:$D$503,"Testing / Acceptance"))</x:f>
      </x:c>
      <x:c r="I94" s="138" t="str">
        <x:f>IF(OR($A94="",$B94=""),"",SUMIFS('Human Time Log'!$H$4:$H$503,'Human Time Log'!$A$4:$A$503,$A94,'Human Time Log'!$B$4:$B$503,$B94,'Human Time Log'!$D$4:$D$503,"Fix / Rework"))</x:f>
      </x:c>
      <x:c r="J94" s="138" t="str">
        <x:f>IF(OR($A94="",$B94=""),"",SUMIFS('Human Time Log'!$H$4:$H$503,'Human Time Log'!$A$4:$A$503,$A94,'Human Time Log'!$B$4:$B$503,$B94,'Human Time Log'!$D$4:$D$503,"Integration / Deployment"))</x:f>
      </x:c>
      <x:c r="K94" s="138" t="str">
        <x:f>IF(OR($A94="",$B94=""),"",SUMIFS('Human Time Log'!$H$4:$H$503,'Human Time Log'!$A$4:$A$503,$A94,'Human Time Log'!$B$4:$B$503,$B94,'Human Time Log'!$D$4:$D$503,"PM / Documentation"))</x:f>
      </x:c>
      <x:c r="L94" s="138" t="str">
        <x:f>IF(OR($A94="",$B94=""),"",SUMIFS('Human Time Log'!$H$4:$H$503,'Human Time Log'!$A$4:$A$503,$A94,'Human Time Log'!$B$4:$B$503,$B94,'Human Time Log'!$D$4:$D$503,"Meeting")+SUMIFS('Human Time Log'!$H$4:$H$503,'Human Time Log'!$A$4:$A$503,$A94,'Human Time Log'!$B$4:$B$503,$B94,'Human Time Log'!$D$4:$D$503,"Other"))</x:f>
      </x:c>
      <x:c r="M94" s="138" t="str">
        <x:f>IF(OR(C94="",D94=""),"",D94-C94)</x:f>
      </x:c>
      <x:c r="N94" s="141"/>
    </x:row>
    <x:row r="95">
      <x:c r="A95" s="139"/>
      <x:c r="B95" s="117"/>
      <x:c r="C95" s="160"/>
      <x:c r="D95" s="138" t="str">
        <x:f>IF(OR(A95="",B95=""),"",SUMIFS('Human Time Log'!$H$4:$H$503,'Human Time Log'!$A$4:$A$503,A95,'Human Time Log'!$B$4:$B$503,B95))</x:f>
      </x:c>
      <x:c r="E95" s="138" t="str">
        <x:f>IF(OR($A95="",$B95=""),"",SUMIFS('Human Time Log'!$H$4:$H$503,'Human Time Log'!$A$4:$A$503,$A95,'Human Time Log'!$B$4:$B$503,$B95,'Human Time Log'!$D$4:$D$503,"Analysis &amp; Prompting"))</x:f>
      </x:c>
      <x:c r="F95" s="138" t="str">
        <x:f>IF(OR($A95="",$B95=""),"",SUMIFS('Human Time Log'!$H$4:$H$503,'Human Time Log'!$A$4:$A$503,$A95,'Human Time Log'!$B$4:$B$503,$B95,'Human Time Log'!$D$4:$D$503,"Agent Supervision"))</x:f>
      </x:c>
      <x:c r="G95" s="138" t="str">
        <x:f>IF(OR($A95="",$B95=""),"",SUMIFS('Human Time Log'!$H$4:$H$503,'Human Time Log'!$A$4:$A$503,$A95,'Human Time Log'!$B$4:$B$503,$B95,'Human Time Log'!$D$4:$D$503,"Human Review"))</x:f>
      </x:c>
      <x:c r="H95" s="138" t="str">
        <x:f>IF(OR($A95="",$B95=""),"",SUMIFS('Human Time Log'!$H$4:$H$503,'Human Time Log'!$A$4:$A$503,$A95,'Human Time Log'!$B$4:$B$503,$B95,'Human Time Log'!$D$4:$D$503,"Testing / Acceptance"))</x:f>
      </x:c>
      <x:c r="I95" s="138" t="str">
        <x:f>IF(OR($A95="",$B95=""),"",SUMIFS('Human Time Log'!$H$4:$H$503,'Human Time Log'!$A$4:$A$503,$A95,'Human Time Log'!$B$4:$B$503,$B95,'Human Time Log'!$D$4:$D$503,"Fix / Rework"))</x:f>
      </x:c>
      <x:c r="J95" s="138" t="str">
        <x:f>IF(OR($A95="",$B95=""),"",SUMIFS('Human Time Log'!$H$4:$H$503,'Human Time Log'!$A$4:$A$503,$A95,'Human Time Log'!$B$4:$B$503,$B95,'Human Time Log'!$D$4:$D$503,"Integration / Deployment"))</x:f>
      </x:c>
      <x:c r="K95" s="138" t="str">
        <x:f>IF(OR($A95="",$B95=""),"",SUMIFS('Human Time Log'!$H$4:$H$503,'Human Time Log'!$A$4:$A$503,$A95,'Human Time Log'!$B$4:$B$503,$B95,'Human Time Log'!$D$4:$D$503,"PM / Documentation"))</x:f>
      </x:c>
      <x:c r="L95" s="138" t="str">
        <x:f>IF(OR($A95="",$B95=""),"",SUMIFS('Human Time Log'!$H$4:$H$503,'Human Time Log'!$A$4:$A$503,$A95,'Human Time Log'!$B$4:$B$503,$B95,'Human Time Log'!$D$4:$D$503,"Meeting")+SUMIFS('Human Time Log'!$H$4:$H$503,'Human Time Log'!$A$4:$A$503,$A95,'Human Time Log'!$B$4:$B$503,$B95,'Human Time Log'!$D$4:$D$503,"Other"))</x:f>
      </x:c>
      <x:c r="M95" s="138" t="str">
        <x:f>IF(OR(C95="",D95=""),"",D95-C95)</x:f>
      </x:c>
      <x:c r="N95" s="141"/>
    </x:row>
    <x:row r="96">
      <x:c r="A96" s="139"/>
      <x:c r="B96" s="117"/>
      <x:c r="C96" s="160"/>
      <x:c r="D96" s="138" t="str">
        <x:f>IF(OR(A96="",B96=""),"",SUMIFS('Human Time Log'!$H$4:$H$503,'Human Time Log'!$A$4:$A$503,A96,'Human Time Log'!$B$4:$B$503,B96))</x:f>
      </x:c>
      <x:c r="E96" s="138" t="str">
        <x:f>IF(OR($A96="",$B96=""),"",SUMIFS('Human Time Log'!$H$4:$H$503,'Human Time Log'!$A$4:$A$503,$A96,'Human Time Log'!$B$4:$B$503,$B96,'Human Time Log'!$D$4:$D$503,"Analysis &amp; Prompting"))</x:f>
      </x:c>
      <x:c r="F96" s="138" t="str">
        <x:f>IF(OR($A96="",$B96=""),"",SUMIFS('Human Time Log'!$H$4:$H$503,'Human Time Log'!$A$4:$A$503,$A96,'Human Time Log'!$B$4:$B$503,$B96,'Human Time Log'!$D$4:$D$503,"Agent Supervision"))</x:f>
      </x:c>
      <x:c r="G96" s="138" t="str">
        <x:f>IF(OR($A96="",$B96=""),"",SUMIFS('Human Time Log'!$H$4:$H$503,'Human Time Log'!$A$4:$A$503,$A96,'Human Time Log'!$B$4:$B$503,$B96,'Human Time Log'!$D$4:$D$503,"Human Review"))</x:f>
      </x:c>
      <x:c r="H96" s="138" t="str">
        <x:f>IF(OR($A96="",$B96=""),"",SUMIFS('Human Time Log'!$H$4:$H$503,'Human Time Log'!$A$4:$A$503,$A96,'Human Time Log'!$B$4:$B$503,$B96,'Human Time Log'!$D$4:$D$503,"Testing / Acceptance"))</x:f>
      </x:c>
      <x:c r="I96" s="138" t="str">
        <x:f>IF(OR($A96="",$B96=""),"",SUMIFS('Human Time Log'!$H$4:$H$503,'Human Time Log'!$A$4:$A$503,$A96,'Human Time Log'!$B$4:$B$503,$B96,'Human Time Log'!$D$4:$D$503,"Fix / Rework"))</x:f>
      </x:c>
      <x:c r="J96" s="138" t="str">
        <x:f>IF(OR($A96="",$B96=""),"",SUMIFS('Human Time Log'!$H$4:$H$503,'Human Time Log'!$A$4:$A$503,$A96,'Human Time Log'!$B$4:$B$503,$B96,'Human Time Log'!$D$4:$D$503,"Integration / Deployment"))</x:f>
      </x:c>
      <x:c r="K96" s="138" t="str">
        <x:f>IF(OR($A96="",$B96=""),"",SUMIFS('Human Time Log'!$H$4:$H$503,'Human Time Log'!$A$4:$A$503,$A96,'Human Time Log'!$B$4:$B$503,$B96,'Human Time Log'!$D$4:$D$503,"PM / Documentation"))</x:f>
      </x:c>
      <x:c r="L96" s="138" t="str">
        <x:f>IF(OR($A96="",$B96=""),"",SUMIFS('Human Time Log'!$H$4:$H$503,'Human Time Log'!$A$4:$A$503,$A96,'Human Time Log'!$B$4:$B$503,$B96,'Human Time Log'!$D$4:$D$503,"Meeting")+SUMIFS('Human Time Log'!$H$4:$H$503,'Human Time Log'!$A$4:$A$503,$A96,'Human Time Log'!$B$4:$B$503,$B96,'Human Time Log'!$D$4:$D$503,"Other"))</x:f>
      </x:c>
      <x:c r="M96" s="138" t="str">
        <x:f>IF(OR(C96="",D96=""),"",D96-C96)</x:f>
      </x:c>
      <x:c r="N96" s="141"/>
    </x:row>
    <x:row r="97">
      <x:c r="A97" s="139"/>
      <x:c r="B97" s="117"/>
      <x:c r="C97" s="160"/>
      <x:c r="D97" s="138" t="str">
        <x:f>IF(OR(A97="",B97=""),"",SUMIFS('Human Time Log'!$H$4:$H$503,'Human Time Log'!$A$4:$A$503,A97,'Human Time Log'!$B$4:$B$503,B97))</x:f>
      </x:c>
      <x:c r="E97" s="138" t="str">
        <x:f>IF(OR($A97="",$B97=""),"",SUMIFS('Human Time Log'!$H$4:$H$503,'Human Time Log'!$A$4:$A$503,$A97,'Human Time Log'!$B$4:$B$503,$B97,'Human Time Log'!$D$4:$D$503,"Analysis &amp; Prompting"))</x:f>
      </x:c>
      <x:c r="F97" s="138" t="str">
        <x:f>IF(OR($A97="",$B97=""),"",SUMIFS('Human Time Log'!$H$4:$H$503,'Human Time Log'!$A$4:$A$503,$A97,'Human Time Log'!$B$4:$B$503,$B97,'Human Time Log'!$D$4:$D$503,"Agent Supervision"))</x:f>
      </x:c>
      <x:c r="G97" s="138" t="str">
        <x:f>IF(OR($A97="",$B97=""),"",SUMIFS('Human Time Log'!$H$4:$H$503,'Human Time Log'!$A$4:$A$503,$A97,'Human Time Log'!$B$4:$B$503,$B97,'Human Time Log'!$D$4:$D$503,"Human Review"))</x:f>
      </x:c>
      <x:c r="H97" s="138" t="str">
        <x:f>IF(OR($A97="",$B97=""),"",SUMIFS('Human Time Log'!$H$4:$H$503,'Human Time Log'!$A$4:$A$503,$A97,'Human Time Log'!$B$4:$B$503,$B97,'Human Time Log'!$D$4:$D$503,"Testing / Acceptance"))</x:f>
      </x:c>
      <x:c r="I97" s="138" t="str">
        <x:f>IF(OR($A97="",$B97=""),"",SUMIFS('Human Time Log'!$H$4:$H$503,'Human Time Log'!$A$4:$A$503,$A97,'Human Time Log'!$B$4:$B$503,$B97,'Human Time Log'!$D$4:$D$503,"Fix / Rework"))</x:f>
      </x:c>
      <x:c r="J97" s="138" t="str">
        <x:f>IF(OR($A97="",$B97=""),"",SUMIFS('Human Time Log'!$H$4:$H$503,'Human Time Log'!$A$4:$A$503,$A97,'Human Time Log'!$B$4:$B$503,$B97,'Human Time Log'!$D$4:$D$503,"Integration / Deployment"))</x:f>
      </x:c>
      <x:c r="K97" s="138" t="str">
        <x:f>IF(OR($A97="",$B97=""),"",SUMIFS('Human Time Log'!$H$4:$H$503,'Human Time Log'!$A$4:$A$503,$A97,'Human Time Log'!$B$4:$B$503,$B97,'Human Time Log'!$D$4:$D$503,"PM / Documentation"))</x:f>
      </x:c>
      <x:c r="L97" s="138" t="str">
        <x:f>IF(OR($A97="",$B97=""),"",SUMIFS('Human Time Log'!$H$4:$H$503,'Human Time Log'!$A$4:$A$503,$A97,'Human Time Log'!$B$4:$B$503,$B97,'Human Time Log'!$D$4:$D$503,"Meeting")+SUMIFS('Human Time Log'!$H$4:$H$503,'Human Time Log'!$A$4:$A$503,$A97,'Human Time Log'!$B$4:$B$503,$B97,'Human Time Log'!$D$4:$D$503,"Other"))</x:f>
      </x:c>
      <x:c r="M97" s="138" t="str">
        <x:f>IF(OR(C97="",D97=""),"",D97-C97)</x:f>
      </x:c>
      <x:c r="N97" s="141"/>
    </x:row>
    <x:row r="98">
      <x:c r="A98" s="139"/>
      <x:c r="B98" s="117"/>
      <x:c r="C98" s="160"/>
      <x:c r="D98" s="138" t="str">
        <x:f>IF(OR(A98="",B98=""),"",SUMIFS('Human Time Log'!$H$4:$H$503,'Human Time Log'!$A$4:$A$503,A98,'Human Time Log'!$B$4:$B$503,B98))</x:f>
      </x:c>
      <x:c r="E98" s="138" t="str">
        <x:f>IF(OR($A98="",$B98=""),"",SUMIFS('Human Time Log'!$H$4:$H$503,'Human Time Log'!$A$4:$A$503,$A98,'Human Time Log'!$B$4:$B$503,$B98,'Human Time Log'!$D$4:$D$503,"Analysis &amp; Prompting"))</x:f>
      </x:c>
      <x:c r="F98" s="138" t="str">
        <x:f>IF(OR($A98="",$B98=""),"",SUMIFS('Human Time Log'!$H$4:$H$503,'Human Time Log'!$A$4:$A$503,$A98,'Human Time Log'!$B$4:$B$503,$B98,'Human Time Log'!$D$4:$D$503,"Agent Supervision"))</x:f>
      </x:c>
      <x:c r="G98" s="138" t="str">
        <x:f>IF(OR($A98="",$B98=""),"",SUMIFS('Human Time Log'!$H$4:$H$503,'Human Time Log'!$A$4:$A$503,$A98,'Human Time Log'!$B$4:$B$503,$B98,'Human Time Log'!$D$4:$D$503,"Human Review"))</x:f>
      </x:c>
      <x:c r="H98" s="138" t="str">
        <x:f>IF(OR($A98="",$B98=""),"",SUMIFS('Human Time Log'!$H$4:$H$503,'Human Time Log'!$A$4:$A$503,$A98,'Human Time Log'!$B$4:$B$503,$B98,'Human Time Log'!$D$4:$D$503,"Testing / Acceptance"))</x:f>
      </x:c>
      <x:c r="I98" s="138" t="str">
        <x:f>IF(OR($A98="",$B98=""),"",SUMIFS('Human Time Log'!$H$4:$H$503,'Human Time Log'!$A$4:$A$503,$A98,'Human Time Log'!$B$4:$B$503,$B98,'Human Time Log'!$D$4:$D$503,"Fix / Rework"))</x:f>
      </x:c>
      <x:c r="J98" s="138" t="str">
        <x:f>IF(OR($A98="",$B98=""),"",SUMIFS('Human Time Log'!$H$4:$H$503,'Human Time Log'!$A$4:$A$503,$A98,'Human Time Log'!$B$4:$B$503,$B98,'Human Time Log'!$D$4:$D$503,"Integration / Deployment"))</x:f>
      </x:c>
      <x:c r="K98" s="138" t="str">
        <x:f>IF(OR($A98="",$B98=""),"",SUMIFS('Human Time Log'!$H$4:$H$503,'Human Time Log'!$A$4:$A$503,$A98,'Human Time Log'!$B$4:$B$503,$B98,'Human Time Log'!$D$4:$D$503,"PM / Documentation"))</x:f>
      </x:c>
      <x:c r="L98" s="138" t="str">
        <x:f>IF(OR($A98="",$B98=""),"",SUMIFS('Human Time Log'!$H$4:$H$503,'Human Time Log'!$A$4:$A$503,$A98,'Human Time Log'!$B$4:$B$503,$B98,'Human Time Log'!$D$4:$D$503,"Meeting")+SUMIFS('Human Time Log'!$H$4:$H$503,'Human Time Log'!$A$4:$A$503,$A98,'Human Time Log'!$B$4:$B$503,$B98,'Human Time Log'!$D$4:$D$503,"Other"))</x:f>
      </x:c>
      <x:c r="M98" s="138" t="str">
        <x:f>IF(OR(C98="",D98=""),"",D98-C98)</x:f>
      </x:c>
      <x:c r="N98" s="141"/>
    </x:row>
    <x:row r="99">
      <x:c r="A99" s="139"/>
      <x:c r="B99" s="117"/>
      <x:c r="C99" s="160"/>
      <x:c r="D99" s="138" t="str">
        <x:f>IF(OR(A99="",B99=""),"",SUMIFS('Human Time Log'!$H$4:$H$503,'Human Time Log'!$A$4:$A$503,A99,'Human Time Log'!$B$4:$B$503,B99))</x:f>
      </x:c>
      <x:c r="E99" s="138" t="str">
        <x:f>IF(OR($A99="",$B99=""),"",SUMIFS('Human Time Log'!$H$4:$H$503,'Human Time Log'!$A$4:$A$503,$A99,'Human Time Log'!$B$4:$B$503,$B99,'Human Time Log'!$D$4:$D$503,"Analysis &amp; Prompting"))</x:f>
      </x:c>
      <x:c r="F99" s="138" t="str">
        <x:f>IF(OR($A99="",$B99=""),"",SUMIFS('Human Time Log'!$H$4:$H$503,'Human Time Log'!$A$4:$A$503,$A99,'Human Time Log'!$B$4:$B$503,$B99,'Human Time Log'!$D$4:$D$503,"Agent Supervision"))</x:f>
      </x:c>
      <x:c r="G99" s="138" t="str">
        <x:f>IF(OR($A99="",$B99=""),"",SUMIFS('Human Time Log'!$H$4:$H$503,'Human Time Log'!$A$4:$A$503,$A99,'Human Time Log'!$B$4:$B$503,$B99,'Human Time Log'!$D$4:$D$503,"Human Review"))</x:f>
      </x:c>
      <x:c r="H99" s="138" t="str">
        <x:f>IF(OR($A99="",$B99=""),"",SUMIFS('Human Time Log'!$H$4:$H$503,'Human Time Log'!$A$4:$A$503,$A99,'Human Time Log'!$B$4:$B$503,$B99,'Human Time Log'!$D$4:$D$503,"Testing / Acceptance"))</x:f>
      </x:c>
      <x:c r="I99" s="138" t="str">
        <x:f>IF(OR($A99="",$B99=""),"",SUMIFS('Human Time Log'!$H$4:$H$503,'Human Time Log'!$A$4:$A$503,$A99,'Human Time Log'!$B$4:$B$503,$B99,'Human Time Log'!$D$4:$D$503,"Fix / Rework"))</x:f>
      </x:c>
      <x:c r="J99" s="138" t="str">
        <x:f>IF(OR($A99="",$B99=""),"",SUMIFS('Human Time Log'!$H$4:$H$503,'Human Time Log'!$A$4:$A$503,$A99,'Human Time Log'!$B$4:$B$503,$B99,'Human Time Log'!$D$4:$D$503,"Integration / Deployment"))</x:f>
      </x:c>
      <x:c r="K99" s="138" t="str">
        <x:f>IF(OR($A99="",$B99=""),"",SUMIFS('Human Time Log'!$H$4:$H$503,'Human Time Log'!$A$4:$A$503,$A99,'Human Time Log'!$B$4:$B$503,$B99,'Human Time Log'!$D$4:$D$503,"PM / Documentation"))</x:f>
      </x:c>
      <x:c r="L99" s="138" t="str">
        <x:f>IF(OR($A99="",$B99=""),"",SUMIFS('Human Time Log'!$H$4:$H$503,'Human Time Log'!$A$4:$A$503,$A99,'Human Time Log'!$B$4:$B$503,$B99,'Human Time Log'!$D$4:$D$503,"Meeting")+SUMIFS('Human Time Log'!$H$4:$H$503,'Human Time Log'!$A$4:$A$503,$A99,'Human Time Log'!$B$4:$B$503,$B99,'Human Time Log'!$D$4:$D$503,"Other"))</x:f>
      </x:c>
      <x:c r="M99" s="138" t="str">
        <x:f>IF(OR(C99="",D99=""),"",D99-C99)</x:f>
      </x:c>
      <x:c r="N99" s="141"/>
    </x:row>
    <x:row r="100">
      <x:c r="A100" s="139"/>
      <x:c r="B100" s="117"/>
      <x:c r="C100" s="160"/>
      <x:c r="D100" s="138" t="str">
        <x:f>IF(OR(A100="",B100=""),"",SUMIFS('Human Time Log'!$H$4:$H$503,'Human Time Log'!$A$4:$A$503,A100,'Human Time Log'!$B$4:$B$503,B100))</x:f>
      </x:c>
      <x:c r="E100" s="138" t="str">
        <x:f>IF(OR($A100="",$B100=""),"",SUMIFS('Human Time Log'!$H$4:$H$503,'Human Time Log'!$A$4:$A$503,$A100,'Human Time Log'!$B$4:$B$503,$B100,'Human Time Log'!$D$4:$D$503,"Analysis &amp; Prompting"))</x:f>
      </x:c>
      <x:c r="F100" s="138" t="str">
        <x:f>IF(OR($A100="",$B100=""),"",SUMIFS('Human Time Log'!$H$4:$H$503,'Human Time Log'!$A$4:$A$503,$A100,'Human Time Log'!$B$4:$B$503,$B100,'Human Time Log'!$D$4:$D$503,"Agent Supervision"))</x:f>
      </x:c>
      <x:c r="G100" s="138" t="str">
        <x:f>IF(OR($A100="",$B100=""),"",SUMIFS('Human Time Log'!$H$4:$H$503,'Human Time Log'!$A$4:$A$503,$A100,'Human Time Log'!$B$4:$B$503,$B100,'Human Time Log'!$D$4:$D$503,"Human Review"))</x:f>
      </x:c>
      <x:c r="H100" s="138" t="str">
        <x:f>IF(OR($A100="",$B100=""),"",SUMIFS('Human Time Log'!$H$4:$H$503,'Human Time Log'!$A$4:$A$503,$A100,'Human Time Log'!$B$4:$B$503,$B100,'Human Time Log'!$D$4:$D$503,"Testing / Acceptance"))</x:f>
      </x:c>
      <x:c r="I100" s="138" t="str">
        <x:f>IF(OR($A100="",$B100=""),"",SUMIFS('Human Time Log'!$H$4:$H$503,'Human Time Log'!$A$4:$A$503,$A100,'Human Time Log'!$B$4:$B$503,$B100,'Human Time Log'!$D$4:$D$503,"Fix / Rework"))</x:f>
      </x:c>
      <x:c r="J100" s="138" t="str">
        <x:f>IF(OR($A100="",$B100=""),"",SUMIFS('Human Time Log'!$H$4:$H$503,'Human Time Log'!$A$4:$A$503,$A100,'Human Time Log'!$B$4:$B$503,$B100,'Human Time Log'!$D$4:$D$503,"Integration / Deployment"))</x:f>
      </x:c>
      <x:c r="K100" s="138" t="str">
        <x:f>IF(OR($A100="",$B100=""),"",SUMIFS('Human Time Log'!$H$4:$H$503,'Human Time Log'!$A$4:$A$503,$A100,'Human Time Log'!$B$4:$B$503,$B100,'Human Time Log'!$D$4:$D$503,"PM / Documentation"))</x:f>
      </x:c>
      <x:c r="L100" s="138" t="str">
        <x:f>IF(OR($A100="",$B100=""),"",SUMIFS('Human Time Log'!$H$4:$H$503,'Human Time Log'!$A$4:$A$503,$A100,'Human Time Log'!$B$4:$B$503,$B100,'Human Time Log'!$D$4:$D$503,"Meeting")+SUMIFS('Human Time Log'!$H$4:$H$503,'Human Time Log'!$A$4:$A$503,$A100,'Human Time Log'!$B$4:$B$503,$B100,'Human Time Log'!$D$4:$D$503,"Other"))</x:f>
      </x:c>
      <x:c r="M100" s="138" t="str">
        <x:f>IF(OR(C100="",D100=""),"",D100-C100)</x:f>
      </x:c>
      <x:c r="N100" s="141"/>
    </x:row>
    <x:row r="101">
      <x:c r="A101" s="139"/>
      <x:c r="B101" s="117"/>
      <x:c r="C101" s="160"/>
      <x:c r="D101" s="138" t="str">
        <x:f>IF(OR(A101="",B101=""),"",SUMIFS('Human Time Log'!$H$4:$H$503,'Human Time Log'!$A$4:$A$503,A101,'Human Time Log'!$B$4:$B$503,B101))</x:f>
      </x:c>
      <x:c r="E101" s="138" t="str">
        <x:f>IF(OR($A101="",$B101=""),"",SUMIFS('Human Time Log'!$H$4:$H$503,'Human Time Log'!$A$4:$A$503,$A101,'Human Time Log'!$B$4:$B$503,$B101,'Human Time Log'!$D$4:$D$503,"Analysis &amp; Prompting"))</x:f>
      </x:c>
      <x:c r="F101" s="138" t="str">
        <x:f>IF(OR($A101="",$B101=""),"",SUMIFS('Human Time Log'!$H$4:$H$503,'Human Time Log'!$A$4:$A$503,$A101,'Human Time Log'!$B$4:$B$503,$B101,'Human Time Log'!$D$4:$D$503,"Agent Supervision"))</x:f>
      </x:c>
      <x:c r="G101" s="138" t="str">
        <x:f>IF(OR($A101="",$B101=""),"",SUMIFS('Human Time Log'!$H$4:$H$503,'Human Time Log'!$A$4:$A$503,$A101,'Human Time Log'!$B$4:$B$503,$B101,'Human Time Log'!$D$4:$D$503,"Human Review"))</x:f>
      </x:c>
      <x:c r="H101" s="138" t="str">
        <x:f>IF(OR($A101="",$B101=""),"",SUMIFS('Human Time Log'!$H$4:$H$503,'Human Time Log'!$A$4:$A$503,$A101,'Human Time Log'!$B$4:$B$503,$B101,'Human Time Log'!$D$4:$D$503,"Testing / Acceptance"))</x:f>
      </x:c>
      <x:c r="I101" s="138" t="str">
        <x:f>IF(OR($A101="",$B101=""),"",SUMIFS('Human Time Log'!$H$4:$H$503,'Human Time Log'!$A$4:$A$503,$A101,'Human Time Log'!$B$4:$B$503,$B101,'Human Time Log'!$D$4:$D$503,"Fix / Rework"))</x:f>
      </x:c>
      <x:c r="J101" s="138" t="str">
        <x:f>IF(OR($A101="",$B101=""),"",SUMIFS('Human Time Log'!$H$4:$H$503,'Human Time Log'!$A$4:$A$503,$A101,'Human Time Log'!$B$4:$B$503,$B101,'Human Time Log'!$D$4:$D$503,"Integration / Deployment"))</x:f>
      </x:c>
      <x:c r="K101" s="138" t="str">
        <x:f>IF(OR($A101="",$B101=""),"",SUMIFS('Human Time Log'!$H$4:$H$503,'Human Time Log'!$A$4:$A$503,$A101,'Human Time Log'!$B$4:$B$503,$B101,'Human Time Log'!$D$4:$D$503,"PM / Documentation"))</x:f>
      </x:c>
      <x:c r="L101" s="138" t="str">
        <x:f>IF(OR($A101="",$B101=""),"",SUMIFS('Human Time Log'!$H$4:$H$503,'Human Time Log'!$A$4:$A$503,$A101,'Human Time Log'!$B$4:$B$503,$B101,'Human Time Log'!$D$4:$D$503,"Meeting")+SUMIFS('Human Time Log'!$H$4:$H$503,'Human Time Log'!$A$4:$A$503,$A101,'Human Time Log'!$B$4:$B$503,$B101,'Human Time Log'!$D$4:$D$503,"Other"))</x:f>
      </x:c>
      <x:c r="M101" s="138" t="str">
        <x:f>IF(OR(C101="",D101=""),"",D101-C101)</x:f>
      </x:c>
      <x:c r="N101" s="141"/>
    </x:row>
    <x:row r="102">
      <x:c r="A102" s="139"/>
      <x:c r="B102" s="117"/>
      <x:c r="C102" s="160"/>
      <x:c r="D102" s="138" t="str">
        <x:f>IF(OR(A102="",B102=""),"",SUMIFS('Human Time Log'!$H$4:$H$503,'Human Time Log'!$A$4:$A$503,A102,'Human Time Log'!$B$4:$B$503,B102))</x:f>
      </x:c>
      <x:c r="E102" s="138" t="str">
        <x:f>IF(OR($A102="",$B102=""),"",SUMIFS('Human Time Log'!$H$4:$H$503,'Human Time Log'!$A$4:$A$503,$A102,'Human Time Log'!$B$4:$B$503,$B102,'Human Time Log'!$D$4:$D$503,"Analysis &amp; Prompting"))</x:f>
      </x:c>
      <x:c r="F102" s="138" t="str">
        <x:f>IF(OR($A102="",$B102=""),"",SUMIFS('Human Time Log'!$H$4:$H$503,'Human Time Log'!$A$4:$A$503,$A102,'Human Time Log'!$B$4:$B$503,$B102,'Human Time Log'!$D$4:$D$503,"Agent Supervision"))</x:f>
      </x:c>
      <x:c r="G102" s="138" t="str">
        <x:f>IF(OR($A102="",$B102=""),"",SUMIFS('Human Time Log'!$H$4:$H$503,'Human Time Log'!$A$4:$A$503,$A102,'Human Time Log'!$B$4:$B$503,$B102,'Human Time Log'!$D$4:$D$503,"Human Review"))</x:f>
      </x:c>
      <x:c r="H102" s="138" t="str">
        <x:f>IF(OR($A102="",$B102=""),"",SUMIFS('Human Time Log'!$H$4:$H$503,'Human Time Log'!$A$4:$A$503,$A102,'Human Time Log'!$B$4:$B$503,$B102,'Human Time Log'!$D$4:$D$503,"Testing / Acceptance"))</x:f>
      </x:c>
      <x:c r="I102" s="138" t="str">
        <x:f>IF(OR($A102="",$B102=""),"",SUMIFS('Human Time Log'!$H$4:$H$503,'Human Time Log'!$A$4:$A$503,$A102,'Human Time Log'!$B$4:$B$503,$B102,'Human Time Log'!$D$4:$D$503,"Fix / Rework"))</x:f>
      </x:c>
      <x:c r="J102" s="138" t="str">
        <x:f>IF(OR($A102="",$B102=""),"",SUMIFS('Human Time Log'!$H$4:$H$503,'Human Time Log'!$A$4:$A$503,$A102,'Human Time Log'!$B$4:$B$503,$B102,'Human Time Log'!$D$4:$D$503,"Integration / Deployment"))</x:f>
      </x:c>
      <x:c r="K102" s="138" t="str">
        <x:f>IF(OR($A102="",$B102=""),"",SUMIFS('Human Time Log'!$H$4:$H$503,'Human Time Log'!$A$4:$A$503,$A102,'Human Time Log'!$B$4:$B$503,$B102,'Human Time Log'!$D$4:$D$503,"PM / Documentation"))</x:f>
      </x:c>
      <x:c r="L102" s="138" t="str">
        <x:f>IF(OR($A102="",$B102=""),"",SUMIFS('Human Time Log'!$H$4:$H$503,'Human Time Log'!$A$4:$A$503,$A102,'Human Time Log'!$B$4:$B$503,$B102,'Human Time Log'!$D$4:$D$503,"Meeting")+SUMIFS('Human Time Log'!$H$4:$H$503,'Human Time Log'!$A$4:$A$503,$A102,'Human Time Log'!$B$4:$B$503,$B102,'Human Time Log'!$D$4:$D$503,"Other"))</x:f>
      </x:c>
      <x:c r="M102" s="138" t="str">
        <x:f>IF(OR(C102="",D102=""),"",D102-C102)</x:f>
      </x:c>
      <x:c r="N102" s="141"/>
    </x:row>
    <x:row r="103">
      <x:c r="A103" s="142"/>
      <x:c r="B103" s="127"/>
      <x:c r="C103" s="161"/>
      <x:c r="D103" s="138" t="str">
        <x:f>IF(OR(A103="",B103=""),"",SUMIFS('Human Time Log'!$H$4:$H$503,'Human Time Log'!$A$4:$A$503,A103,'Human Time Log'!$B$4:$B$503,B103))</x:f>
      </x:c>
      <x:c r="E103" s="138" t="str">
        <x:f>IF(OR($A103="",$B103=""),"",SUMIFS('Human Time Log'!$H$4:$H$503,'Human Time Log'!$A$4:$A$503,$A103,'Human Time Log'!$B$4:$B$503,$B103,'Human Time Log'!$D$4:$D$503,"Analysis &amp; Prompting"))</x:f>
      </x:c>
      <x:c r="F103" s="138" t="str">
        <x:f>IF(OR($A103="",$B103=""),"",SUMIFS('Human Time Log'!$H$4:$H$503,'Human Time Log'!$A$4:$A$503,$A103,'Human Time Log'!$B$4:$B$503,$B103,'Human Time Log'!$D$4:$D$503,"Agent Supervision"))</x:f>
      </x:c>
      <x:c r="G103" s="138" t="str">
        <x:f>IF(OR($A103="",$B103=""),"",SUMIFS('Human Time Log'!$H$4:$H$503,'Human Time Log'!$A$4:$A$503,$A103,'Human Time Log'!$B$4:$B$503,$B103,'Human Time Log'!$D$4:$D$503,"Human Review"))</x:f>
      </x:c>
      <x:c r="H103" s="138" t="str">
        <x:f>IF(OR($A103="",$B103=""),"",SUMIFS('Human Time Log'!$H$4:$H$503,'Human Time Log'!$A$4:$A$503,$A103,'Human Time Log'!$B$4:$B$503,$B103,'Human Time Log'!$D$4:$D$503,"Testing / Acceptance"))</x:f>
      </x:c>
      <x:c r="I103" s="138" t="str">
        <x:f>IF(OR($A103="",$B103=""),"",SUMIFS('Human Time Log'!$H$4:$H$503,'Human Time Log'!$A$4:$A$503,$A103,'Human Time Log'!$B$4:$B$503,$B103,'Human Time Log'!$D$4:$D$503,"Fix / Rework"))</x:f>
      </x:c>
      <x:c r="J103" s="138" t="str">
        <x:f>IF(OR($A103="",$B103=""),"",SUMIFS('Human Time Log'!$H$4:$H$503,'Human Time Log'!$A$4:$A$503,$A103,'Human Time Log'!$B$4:$B$503,$B103,'Human Time Log'!$D$4:$D$503,"Integration / Deployment"))</x:f>
      </x:c>
      <x:c r="K103" s="138" t="str">
        <x:f>IF(OR($A103="",$B103=""),"",SUMIFS('Human Time Log'!$H$4:$H$503,'Human Time Log'!$A$4:$A$503,$A103,'Human Time Log'!$B$4:$B$503,$B103,'Human Time Log'!$D$4:$D$503,"PM / Documentation"))</x:f>
      </x:c>
      <x:c r="L103" s="138" t="str">
        <x:f>IF(OR($A103="",$B103=""),"",SUMIFS('Human Time Log'!$H$4:$H$503,'Human Time Log'!$A$4:$A$503,$A103,'Human Time Log'!$B$4:$B$503,$B103,'Human Time Log'!$D$4:$D$503,"Meeting")+SUMIFS('Human Time Log'!$H$4:$H$503,'Human Time Log'!$A$4:$A$503,$A103,'Human Time Log'!$B$4:$B$503,$B103,'Human Time Log'!$D$4:$D$503,"Other"))</x:f>
      </x:c>
      <x:c r="M103" s="138" t="str">
        <x:f>IF(OR(C103="",D103=""),"",D103-C103)</x:f>
      </x:c>
      <x:c r="N103" s="144"/>
    </x:row>
  </x:sheetData>
  <x:mergeCells>
    <x:mergeCell ref="A1:N1"/>
    <x:mergeCell ref="A2:N2"/>
  </x:mergeCells>
  <x:conditionalFormatting sqref="M4:M103">
    <x:cfRule type="cellIs" dxfId="3" priority="1" operator="lessThan">
      <x:formula>0</x:formula>
    </x:cfRule>
  </x:conditionalFormatting>
  <x:dataValidations count="1">
    <x:dataValidation type="list" sqref="B4:B103">
      <x:formula1>'Setup &amp; Lists'!$A$16:$A$20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fb9f23c8d54b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6" hidden="0" customWidth="1"/>
    <x:col min="3" max="3" width="5" hidden="0" customWidth="1"/>
    <x:col min="4" max="4" width="34" hidden="0" customWidth="1"/>
    <x:col min="5" max="5" width="24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93" t="str">
        <x:v>PILOT DASHBOARD</x:v>
      </x:c>
      <x:c r="B1" s="93" t="str">
        <x:v>PILOT DASHBOARD</x:v>
      </x:c>
      <x:c r="C1" s="93" t="str">
        <x:v>PILOT DASHBOARD</x:v>
      </x:c>
      <x:c r="D1" s="93" t="str">
        <x:v>PILOT DASHBOARD</x:v>
      </x:c>
      <x:c r="E1" s="93" t="str">
        <x:v>PILOT DASHBOARD</x:v>
      </x:c>
      <x:c r="F1" s="93" t="str">
        <x:v>PILOT DASHBOARD</x:v>
      </x:c>
      <x:c r="G1" s="93" t="str">
        <x:v>PILOT DASHBOARD</x:v>
      </x:c>
      <x:c r="H1" s="93" t="str">
        <x:v>PILOT DASHBOARD</x:v>
      </x:c>
    </x:row>
    <x:row r="2" ht="30" customHeight="1">
      <x:c r="A2" s="95" t="str">
        <x:v>Các KPI cập nhật từ log. Chỉ Accepted Done được tính vào throughput.</x:v>
      </x:c>
      <x:c r="B2" s="95" t="str">
        <x:v>Các KPI cập nhật từ log. Chỉ Accepted Done được tính vào throughput.</x:v>
      </x:c>
      <x:c r="C2" s="95" t="str">
        <x:v>Các KPI cập nhật từ log. Chỉ Accepted Done được tính vào throughput.</x:v>
      </x:c>
      <x:c r="D2" s="95" t="str">
        <x:v>Các KPI cập nhật từ log. Chỉ Accepted Done được tính vào throughput.</x:v>
      </x:c>
      <x:c r="E2" s="95" t="str">
        <x:v>Các KPI cập nhật từ log. Chỉ Accepted Done được tính vào throughput.</x:v>
      </x:c>
      <x:c r="F2" s="95" t="str">
        <x:v>Các KPI cập nhật từ log. Chỉ Accepted Done được tính vào throughput.</x:v>
      </x:c>
      <x:c r="G2" s="95" t="str">
        <x:v>Các KPI cập nhật từ log. Chỉ Accepted Done được tính vào throughput.</x:v>
      </x:c>
      <x:c r="H2" s="95" t="str">
        <x:v>Các KPI cập nhật từ log. Chỉ Accepted Done được tính vào throughput.</x:v>
      </x:c>
    </x:row>
    <x:row r="3">
      <x:c r="A3" s="94"/>
      <x:c r="B3" s="94"/>
      <x:c r="C3" s="94"/>
      <x:c r="D3" s="94"/>
      <x:c r="E3" s="94"/>
      <x:c r="F3" s="94"/>
      <x:c r="G3" s="94"/>
      <x:c r="H3" s="94"/>
    </x:row>
    <x:row r="4" ht="36" customHeight="1">
      <x:c r="A4" s="96" t="str">
        <x:v>Delivery KPI</x:v>
      </x:c>
      <x:c r="B4" s="96" t="str">
        <x:v>Value</x:v>
      </x:c>
      <x:c r="C4" s="94"/>
      <x:c r="D4" s="96" t="str">
        <x:v>Effort &amp; Cost KPI</x:v>
      </x:c>
      <x:c r="E4" s="96" t="str">
        <x:v>Value</x:v>
      </x:c>
      <x:c r="F4" s="94"/>
      <x:c r="G4" s="94"/>
      <x:c r="H4" s="94"/>
    </x:row>
    <x:row r="5">
      <x:c r="A5" s="94" t="str">
        <x:v>Stories Started</x:v>
      </x:c>
      <x:c r="B5" s="162" t="n">
        <x:f>COUNTIF('Stories'!$N$4:$N$103,"&gt;0")</x:f>
        <x:v>0</x:v>
      </x:c>
      <x:c r="C5" s="94"/>
      <x:c r="D5" s="94" t="str">
        <x:v>Total Human Hours</x:v>
      </x:c>
      <x:c r="E5" s="138" t="n">
        <x:f>SUM('Human Time Log'!$H$4:$H$503)</x:f>
        <x:v>0</x:v>
      </x:c>
      <x:c r="F5" s="94"/>
      <x:c r="G5" s="94"/>
      <x:c r="H5" s="94"/>
    </x:row>
    <x:row r="6">
      <x:c r="A6" s="94" t="str">
        <x:v>Accepted Done</x:v>
      </x:c>
      <x:c r="B6" s="162" t="n">
        <x:f>COUNTIF('Stories'!$T$4:$T$103,"Accepted Done")</x:f>
        <x:v>0</x:v>
      </x:c>
      <x:c r="C6" s="94"/>
      <x:c r="D6" s="94" t="str">
        <x:v>Human Hours / Accepted Story</x:v>
      </x:c>
      <x:c r="E6" s="138" t="n">
        <x:f>IFERROR(E5/$B$6,0)</x:f>
        <x:v>0</x:v>
      </x:c>
      <x:c r="F6" s="94"/>
      <x:c r="G6" s="94"/>
      <x:c r="H6" s="94"/>
    </x:row>
    <x:row r="7">
      <x:c r="A7" s="94" t="str">
        <x:v>Carried Over</x:v>
      </x:c>
      <x:c r="B7" s="162" t="n">
        <x:f>COUNTIF('Stories'!$T$4:$T$103,"Carried Over")</x:f>
        <x:v>0</x:v>
      </x:c>
      <x:c r="C7" s="94"/>
      <x:c r="D7" s="94" t="str">
        <x:v>AI Active Hours</x:v>
      </x:c>
      <x:c r="E7" s="138" t="n">
        <x:f>SUM('AI Usage Log'!$L$4:$L$503)/60</x:f>
        <x:v>0</x:v>
      </x:c>
      <x:c r="F7" s="94"/>
      <x:c r="G7" s="94"/>
      <x:c r="H7" s="94"/>
    </x:row>
    <x:row r="8">
      <x:c r="A8" s="94" t="str">
        <x:v>Accepted Throughput / Pilot</x:v>
      </x:c>
      <x:c r="B8" s="162" t="n">
        <x:f>B6</x:f>
        <x:v>0</x:v>
      </x:c>
      <x:c r="C8" s="94"/>
      <x:c r="D8" s="94" t="str">
        <x:v>AI Credits Used</x:v>
      </x:c>
      <x:c r="E8" s="138" t="n">
        <x:f>SUM('AI Usage Log'!$P$4:$P$503)</x:f>
        <x:v>0</x:v>
      </x:c>
      <x:c r="F8" s="94"/>
      <x:c r="G8" s="94"/>
      <x:c r="H8" s="94"/>
    </x:row>
    <x:row r="9">
      <x:c r="A9" s="94" t="str">
        <x:v>Average Cycle Hours</x:v>
      </x:c>
      <x:c r="B9" s="138" t="n">
        <x:f>IFERROR(AVERAGEIF('Stories'!$T$4:$T$103,"Accepted Done",'Stories'!$U$4:$U$103),0)</x:f>
        <x:v>0</x:v>
      </x:c>
      <x:c r="C9" s="94"/>
      <x:c r="D9" s="94" t="str">
        <x:v>Measured AI Usage Cost VND</x:v>
      </x:c>
      <x:c r="E9" s="148" t="n">
        <x:f>SUM('AI Usage Log'!$R$4:$R$503)</x:f>
        <x:v>0</x:v>
      </x:c>
      <x:c r="F9" s="94"/>
      <x:c r="G9" s="94"/>
      <x:c r="H9" s="94"/>
    </x:row>
    <x:row r="10">
      <x:c r="A10" s="94" t="str">
        <x:v>Acceptance Yield</x:v>
      </x:c>
      <x:c r="B10" s="138" t="n">
        <x:f>IFERROR(SUMIFS('Stories'!$W$4:$W$103,'Stories'!$T$4:$T$103,"Accepted Done")/SUMIFS('Stories'!$V$4:$V$103,'Stories'!$T$4:$T$103,"Accepted Done"),0)</x:f>
        <x:v>0</x:v>
      </x:c>
      <x:c r="C10" s="94"/>
      <x:c r="D10" s="94" t="str">
        <x:v>Cash Cost VND</x:v>
      </x:c>
      <x:c r="E10" s="148" t="n">
        <x:f>SUMIFS('Cost Log'!$I$4:$I$203,'Cost Log'!$E$4:$E$203,"Cash")</x:f>
        <x:v>0</x:v>
      </x:c>
      <x:c r="F10" s="94"/>
      <x:c r="G10" s="94"/>
      <x:c r="H10" s="94"/>
    </x:row>
    <x:row r="11">
      <x:c r="A11" s="94" t="str">
        <x:v>Deployment Success Rate</x:v>
      </x:c>
      <x:c r="B11" s="138" t="n">
        <x:f>IFERROR(COUNTIF('Stories'!$AA$4:$AA$103,"Yes")/(COUNTIF('Stories'!$AA$4:$AA$103,"Yes")+COUNTIF('Stories'!$AA$4:$AA$103,"No")),0)</x:f>
        <x:v>0</x:v>
      </x:c>
      <x:c r="C11" s="94"/>
      <x:c r="D11" s="94" t="str">
        <x:v>Economic Cost VND</x:v>
      </x:c>
      <x:c r="E11" s="148" t="n">
        <x:f>SUMIFS('Cost Log'!$I$4:$I$203,'Cost Log'!$E$4:$E$203,"Economic")</x:f>
        <x:v>0</x:v>
      </x:c>
      <x:c r="F11" s="94"/>
      <x:c r="G11" s="94"/>
      <x:c r="H11" s="94"/>
    </x:row>
    <x:row r="12">
      <x:c r="A12" s="94" t="str">
        <x:v>Total Blocked Hours</x:v>
      </x:c>
      <x:c r="B12" s="138" t="n">
        <x:f>SUM('Stories'!$AC$4:$AC$103)</x:f>
        <x:v>0</x:v>
      </x:c>
      <x:c r="C12" s="94"/>
      <x:c r="D12" s="94" t="str">
        <x:v>Credited Resource Value VND</x:v>
      </x:c>
      <x:c r="E12" s="148" t="n">
        <x:f>SUMIFS('Cost Log'!$I$4:$I$203,'Cost Log'!$E$4:$E$203,"Credited")</x:f>
        <x:v>0</x:v>
      </x:c>
      <x:c r="F12" s="94"/>
      <x:c r="G12" s="94"/>
      <x:c r="H12" s="94"/>
    </x:row>
    <x:row r="13">
      <x:c r="A13" s="94" t="str">
        <x:v>Total Rework Hours</x:v>
      </x:c>
      <x:c r="B13" s="138" t="n">
        <x:f>SUM('Stories'!$AB$4:$AB$103)</x:f>
        <x:v>0</x:v>
      </x:c>
      <x:c r="C13" s="94"/>
      <x:c r="D13" s="94" t="str">
        <x:v>Cash Cost / Accepted Story</x:v>
      </x:c>
      <x:c r="E13" s="148" t="n">
        <x:f>IFERROR(E10/$B$6,0)</x:f>
        <x:v>0</x:v>
      </x:c>
      <x:c r="F13" s="94"/>
      <x:c r="G13" s="94"/>
      <x:c r="H13" s="94"/>
    </x:row>
    <x:row r="14">
      <x:c r="A14" s="94" t="str">
        <x:v>Accepted Classes Represented</x:v>
      </x:c>
      <x:c r="B14" s="162" t="n">
        <x:f>IF(COUNTIFS('Stories'!$T$4:$T$103,"Accepted Done",'Stories'!$C$4:$C$103,"A — Simple")&gt;0,1,0)+IF(COUNTIFS('Stories'!$T$4:$T$103,"Accepted Done",'Stories'!$C$4:$C$103,"B — Business Rule")&gt;0,1,0)+IF(COUNTIFS('Stories'!$T$4:$T$103,"Accepted Done",'Stories'!$C$4:$C$103,"C — Cross-layer")&gt;0,1,0)+IF(COUNTIFS('Stories'!$T$4:$T$103,"Accepted Done",'Stories'!$C$4:$C$103,"D — External/Deploy")&gt;0,1,0)+IF(COUNTIFS('Stories'!$T$4:$T$103,"Accepted Done",'Stories'!$C$4:$C$103,"E — Foundation/High-risk")&gt;0,1,0)</x:f>
        <x:v>0</x:v>
      </x:c>
      <x:c r="C14" s="94"/>
      <x:c r="D14" s="94" t="str">
        <x:v>Total Agent Sessions</x:v>
      </x:c>
      <x:c r="E14" s="162" t="n">
        <x:f>COUNTIF('AI Usage Log'!$H$4:$H$503,"&lt;&gt;")</x:f>
        <x:v>0</x:v>
      </x:c>
      <x:c r="F14" s="94"/>
      <x:c r="G14" s="94"/>
      <x:c r="H14" s="94"/>
    </x:row>
    <x:row r="15">
      <x:c r="A15" s="94" t="str">
        <x:v>Data Completeness</x:v>
      </x:c>
      <x:c r="B15" s="163" t="n">
        <x:f>IF(B5=0,0,COUNTIFS('Stories'!$N$4:$N$103,"&gt;0",'Stories'!$C$4:$C$103,"&lt;&gt;",'Stories'!$G$4:$G$103,"&lt;&gt;",'Stories'!$J$4:$J$103,"&lt;&gt;",'Stories'!$T$4:$T$103,"&lt;&gt;")/B5)</x:f>
        <x:v>0</x:v>
      </x:c>
      <x:c r="C15" s="94"/>
      <x:c r="D15" s="94" t="str">
        <x:v>Limit Events</x:v>
      </x:c>
      <x:c r="E15" s="162" t="n">
        <x:f>COUNTIF('AI Usage Log'!$S$4:$S$503,"Yes")</x:f>
        <x:v>0</x:v>
      </x:c>
      <x:c r="F15" s="94"/>
      <x:c r="G15" s="94"/>
      <x:c r="H15" s="94"/>
    </x:row>
    <x:row r="16">
      <x:c r="A16" s="94" t="str">
        <x:v>Pilot Valid for Forecast?</x:v>
      </x:c>
      <x:c r="B16" s="162" t="str">
        <x:f>IF(AND(B6&gt;=5,B10=1,B11&gt;0,B14&gt;=3,B15&gt;=0.9),"YES","NO")</x:f>
        <x:v>NO</x:v>
      </x:c>
      <x:c r="C16" s="94"/>
      <x:c r="D16" s="94"/>
      <x:c r="E16" s="94"/>
      <x:c r="F16" s="94"/>
      <x:c r="G16" s="94"/>
      <x:c r="H16" s="94"/>
    </x:row>
    <x:row r="17">
      <x:c r="A17" s="94" t="str">
        <x:v>Validity Note</x:v>
      </x:c>
      <x:c r="B17" s="164" t="str">
        <x:f>IF(B16="YES","Initial forecast may be produced; still disclose sample limitations.","Treat as process-learning pilot; do not extrapolate final duration yet.")</x:f>
        <x:v>Treat as process-learning pilot; do not extrapolate final duration yet.</x:v>
      </x:c>
      <x:c r="C17" s="94"/>
      <x:c r="D17" s="94"/>
      <x:c r="E17" s="94"/>
      <x:c r="F17" s="94"/>
      <x:c r="G17" s="94"/>
      <x:c r="H17" s="94"/>
    </x:row>
    <x:row r="18">
      <x:c r="A18" s="94"/>
      <x:c r="B18" s="94"/>
      <x:c r="C18" s="94"/>
      <x:c r="D18" s="94"/>
      <x:c r="E18" s="94"/>
      <x:c r="F18" s="94"/>
      <x:c r="G18" s="94"/>
      <x:c r="H18" s="94"/>
    </x:row>
    <x:row r="19">
      <x:c r="A19" s="165" t="str">
        <x:v>Operational interpretation</x:v>
      </x:c>
      <x:c r="B19" s="165" t="str">
        <x:v>Operational interpretation</x:v>
      </x:c>
      <x:c r="C19" s="165" t="str">
        <x:v>Operational interpretation</x:v>
      </x:c>
      <x:c r="D19" s="165" t="str">
        <x:v>Operational interpretation</x:v>
      </x:c>
      <x:c r="E19" s="165" t="str">
        <x:v>Operational interpretation</x:v>
      </x:c>
      <x:c r="F19" s="94"/>
      <x:c r="G19" s="94"/>
      <x:c r="H19" s="94"/>
    </x:row>
    <x:row r="20">
      <x:c r="A20" s="166" t="str">
        <x:v>1. Throughput counts only Accepted Done user stories; Enabler Done is reported separately.</x:v>
      </x:c>
      <x:c r="B20" s="166"/>
      <x:c r="C20" s="166"/>
      <x:c r="D20" s="166"/>
      <x:c r="E20" s="166"/>
      <x:c r="F20" s="94"/>
      <x:c r="G20" s="94"/>
      <x:c r="H20" s="94"/>
    </x:row>
    <x:row r="21">
      <x:c r="A21" s="166" t="str">
        <x:v>2. Human hours include all active work, not only coding.</x:v>
      </x:c>
      <x:c r="B21" s="166"/>
      <x:c r="C21" s="166"/>
      <x:c r="D21" s="166"/>
      <x:c r="E21" s="166"/>
      <x:c r="F21" s="94"/>
      <x:c r="G21" s="94"/>
      <x:c r="H21" s="94"/>
    </x:row>
    <x:row r="22">
      <x:c r="A22" s="166" t="str">
        <x:v>3. Cash Cost and Measured AI Usage Cost are separate views; do not add them unless AI usage is an actual paid charge not already logged.</x:v>
      </x:c>
      <x:c r="B22" s="166"/>
      <x:c r="C22" s="166"/>
      <x:c r="D22" s="166"/>
      <x:c r="E22" s="166"/>
      <x:c r="F22" s="94"/>
      <x:c r="G22" s="94"/>
      <x:c r="H22" s="94"/>
    </x:row>
    <x:row r="23">
      <x:c r="A23" s="166" t="str">
        <x:v>4. A valid one-week pilot creates an initial forecast, not a permanent productivity guarantee.</x:v>
      </x:c>
      <x:c r="B23" s="166"/>
      <x:c r="C23" s="166"/>
      <x:c r="D23" s="166"/>
      <x:c r="E23" s="166"/>
      <x:c r="F23" s="94"/>
      <x:c r="G23" s="94"/>
      <x:c r="H23" s="94"/>
    </x:row>
    <x:row r="24">
      <x:c r="A24" s="166" t="str">
        <x:v>5. Update the forecast weekly as the sample grows.</x:v>
      </x:c>
      <x:c r="B24" s="166"/>
      <x:c r="C24" s="166"/>
      <x:c r="D24" s="166"/>
      <x:c r="E24" s="166"/>
      <x:c r="F24" s="94"/>
      <x:c r="G24" s="94"/>
      <x:c r="H24" s="94"/>
    </x:row>
  </x:sheetData>
  <x:mergeCells>
    <x:mergeCell ref="A1:H1"/>
    <x:mergeCell ref="A2:H2"/>
    <x:mergeCell ref="A19:E19"/>
    <x:mergeCell ref="A20:E20"/>
    <x:mergeCell ref="A21:E21"/>
    <x:mergeCell ref="A22:E22"/>
    <x:mergeCell ref="A23:E23"/>
    <x:mergeCell ref="A24:E24"/>
  </x:mergeCells>
  <x:conditionalFormatting sqref="B16:B16">
    <x:cfRule type="containsText" dxfId="4" priority="1" operator="containsText" text="YES"/>
    <x:cfRule type="containsText" dxfId="5" priority="2" operator="containsText" text="NO"/>
  </x:conditionalFormatting>
  <x:pageMargins left="0.7" right="0.7" top="0.75" bottom="0.75" header="0.3" footer="0.3"/>
</x:worksheet>
</file>